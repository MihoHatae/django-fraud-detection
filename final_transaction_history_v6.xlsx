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最終制作\"/>
    </mc:Choice>
  </mc:AlternateContent>
  <xr:revisionPtr revIDLastSave="0" documentId="13_ncr:1_{46EE0650-4333-4E42-91E9-D792EE8CDA66}" xr6:coauthVersionLast="47" xr6:coauthVersionMax="47" xr10:uidLastSave="{00000000-0000-0000-0000-000000000000}"/>
  <bookViews>
    <workbookView xWindow="0" yWindow="2232" windowWidth="19980" windowHeight="11448" xr2:uid="{00000000-000D-0000-FFFF-FFFF00000000}"/>
  </bookViews>
  <sheets>
    <sheet name="Sheet1" sheetId="1" r:id="rId1"/>
  </sheets>
  <definedNames>
    <definedName name="_xlnm._FilterDatabase" localSheetId="0" hidden="1">Sheet1!$A$1:$A$313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4" i="1" l="1" a="1"/>
  <c r="AB4" i="1" s="1"/>
  <c r="AB141" i="1" a="1"/>
  <c r="AB141" i="1" s="1"/>
  <c r="AB230" i="1" s="1" a="1"/>
  <c r="AB230" i="1" s="1"/>
  <c r="AB119" i="1" a="1"/>
  <c r="AB119" i="1" s="1"/>
  <c r="AB142" i="1" s="1" a="1"/>
  <c r="AB142" i="1" s="1"/>
  <c r="AB208" i="1" s="1" a="1"/>
  <c r="AB208" i="1" s="1"/>
  <c r="AB231" i="1" s="1" a="1"/>
  <c r="AB231" i="1" s="1"/>
  <c r="AB7" i="1" a="1"/>
  <c r="AB7" i="1" s="1"/>
  <c r="AB143" i="1" s="1" a="1"/>
  <c r="AB143" i="1" s="1"/>
  <c r="AB232" i="1" s="1" a="1"/>
  <c r="AB232" i="1" s="1"/>
  <c r="AB144" i="1" a="1"/>
  <c r="AB144" i="1" s="1"/>
  <c r="AB233" i="1" s="1" a="1"/>
  <c r="AB233" i="1" s="1"/>
  <c r="AB145" i="1" a="1"/>
  <c r="AB145" i="1" s="1"/>
  <c r="AB234" i="1" s="1" a="1"/>
  <c r="AB234" i="1" s="1"/>
  <c r="AB146" i="1" a="1"/>
  <c r="AB146" i="1" s="1"/>
  <c r="AB235" i="1" s="1" a="1"/>
  <c r="AB235" i="1" s="1"/>
  <c r="AB147" i="1" a="1"/>
  <c r="AB147" i="1" s="1"/>
  <c r="AB236" i="1" s="1" a="1"/>
  <c r="AB236" i="1" s="1"/>
  <c r="AB148" i="1" a="1"/>
  <c r="AB148" i="1" s="1"/>
  <c r="AB237" i="1" s="1" a="1"/>
  <c r="AB237" i="1" s="1"/>
  <c r="AB149" i="1" a="1"/>
  <c r="AB149" i="1" s="1"/>
  <c r="AB238" i="1" s="1" a="1"/>
  <c r="AB238" i="1" s="1"/>
  <c r="AB150" i="1" a="1"/>
  <c r="AB150" i="1" s="1"/>
  <c r="AB239" i="1" s="1" a="1"/>
  <c r="AB239" i="1" s="1"/>
  <c r="AB151" i="1" a="1"/>
  <c r="AB151" i="1" s="1"/>
  <c r="AB240" i="1" s="1" a="1"/>
  <c r="AB240" i="1" s="1"/>
  <c r="AB152" i="1" a="1"/>
  <c r="AB152" i="1" s="1"/>
  <c r="AB241" i="1" s="1" a="1"/>
  <c r="AB241" i="1" s="1"/>
  <c r="AB153" i="1" a="1"/>
  <c r="AB153" i="1" s="1"/>
  <c r="AB242" i="1" s="1" a="1"/>
  <c r="AB242" i="1" s="1"/>
  <c r="AB270" i="1" s="1" a="1"/>
  <c r="AB270" i="1" s="1"/>
  <c r="AB154" i="1" a="1"/>
  <c r="AB154" i="1" s="1"/>
  <c r="AB243" i="1" s="1" a="1"/>
  <c r="AB243" i="1" s="1"/>
  <c r="AB271" i="1" s="1" a="1"/>
  <c r="AB271" i="1" s="1"/>
  <c r="AB155" i="1" a="1"/>
  <c r="AB155" i="1" s="1"/>
  <c r="AB244" i="1" s="1" a="1"/>
  <c r="AB244" i="1" s="1"/>
  <c r="AB272" i="1" s="1" a="1"/>
  <c r="AB272" i="1" s="1"/>
  <c r="AB293" i="1" s="1" a="1"/>
  <c r="AB293" i="1" s="1"/>
  <c r="AB295" i="1" s="1" a="1"/>
  <c r="AB295" i="1" s="1"/>
  <c r="AB296" i="1" s="1" a="1"/>
  <c r="AB296" i="1" s="1"/>
  <c r="AB297" i="1" s="1" a="1"/>
  <c r="AB297" i="1" s="1"/>
  <c r="AB298" i="1" s="1" a="1"/>
  <c r="AB298" i="1" s="1"/>
  <c r="AB299" i="1" s="1" a="1"/>
  <c r="AB299" i="1" s="1"/>
  <c r="AB300" i="1" s="1" a="1"/>
  <c r="AB300" i="1" s="1"/>
  <c r="AB156" i="1" a="1"/>
  <c r="AB156" i="1" s="1"/>
  <c r="AB245" i="1" s="1" a="1"/>
  <c r="AB245" i="1" s="1"/>
  <c r="AB273" i="1" s="1" a="1"/>
  <c r="AB273" i="1" s="1"/>
  <c r="AB157" i="1" a="1"/>
  <c r="AB157" i="1" s="1"/>
  <c r="AB207" i="1" s="1" a="1"/>
  <c r="AB207" i="1" s="1"/>
  <c r="AB246" i="1" s="1" a="1"/>
  <c r="AB246" i="1" s="1"/>
  <c r="AB274" i="1" s="1" a="1"/>
  <c r="AB274" i="1" s="1"/>
  <c r="AB158" i="1" a="1"/>
  <c r="AB158" i="1" s="1"/>
  <c r="AB247" i="1" s="1" a="1"/>
  <c r="AB247" i="1" s="1"/>
  <c r="AB275" i="1" s="1" a="1"/>
  <c r="AB275" i="1" s="1"/>
  <c r="AB23" i="1" a="1"/>
  <c r="AB23" i="1" s="1"/>
  <c r="AB159" i="1" s="1" a="1"/>
  <c r="AB159" i="1" s="1"/>
  <c r="AB248" i="1" s="1" a="1"/>
  <c r="AB248" i="1" s="1"/>
  <c r="AB276" i="1" s="1" a="1"/>
  <c r="AB276" i="1" s="1"/>
  <c r="AB127" i="1" a="1"/>
  <c r="AB127" i="1" s="1"/>
  <c r="AB160" i="1" s="1" a="1"/>
  <c r="AB160" i="1" s="1"/>
  <c r="AB163" i="1" s="1" a="1"/>
  <c r="AB163" i="1" s="1"/>
  <c r="AB216" i="1" s="1" a="1"/>
  <c r="AB216" i="1" s="1"/>
  <c r="AB249" i="1" s="1" a="1"/>
  <c r="AB249" i="1" s="1"/>
  <c r="AB252" i="1" s="1" a="1"/>
  <c r="AB252" i="1" s="1"/>
  <c r="AB277" i="1" s="1" a="1"/>
  <c r="AB277" i="1" s="1"/>
  <c r="AB282" i="1" s="1" a="1"/>
  <c r="AB282" i="1" s="1"/>
  <c r="AB128" i="1" a="1"/>
  <c r="AB128" i="1" s="1"/>
  <c r="AB161" i="1" s="1" a="1"/>
  <c r="AB161" i="1" s="1"/>
  <c r="AB164" i="1" s="1" a="1"/>
  <c r="AB164" i="1" s="1"/>
  <c r="AB217" i="1" s="1" a="1"/>
  <c r="AB217" i="1" s="1"/>
  <c r="AB250" i="1" s="1" a="1"/>
  <c r="AB250" i="1" s="1"/>
  <c r="AB253" i="1" s="1" a="1"/>
  <c r="AB253" i="1" s="1"/>
  <c r="AB278" i="1" s="1" a="1"/>
  <c r="AB278" i="1" s="1"/>
  <c r="AB280" i="1" s="1" a="1"/>
  <c r="AB280" i="1" s="1"/>
  <c r="AB301" i="1" s="1" a="1"/>
  <c r="AB301" i="1" s="1"/>
  <c r="AB302" i="1" s="1" a="1"/>
  <c r="AB302" i="1" s="1"/>
  <c r="AB303" i="1" s="1" a="1"/>
  <c r="AB303" i="1" s="1"/>
  <c r="AB304" i="1" s="1" a="1"/>
  <c r="AB304" i="1" s="1"/>
  <c r="AB129" i="1" a="1"/>
  <c r="AB129" i="1" s="1"/>
  <c r="AB162" i="1" s="1" a="1"/>
  <c r="AB162" i="1" s="1"/>
  <c r="AB165" i="1" s="1" a="1"/>
  <c r="AB165" i="1" s="1"/>
  <c r="AB218" i="1" s="1" a="1"/>
  <c r="AB218" i="1" s="1"/>
  <c r="AB254" i="1" s="1" a="1"/>
  <c r="AB254" i="1" s="1"/>
  <c r="AB281" i="1" s="1" a="1"/>
  <c r="AB281" i="1" s="1"/>
  <c r="AB294" i="1" s="1" a="1"/>
  <c r="AB294" i="1" s="1"/>
  <c r="AB130" i="1" a="1"/>
  <c r="AB130" i="1" s="1"/>
  <c r="AB166" i="1" s="1" a="1"/>
  <c r="AB166" i="1" s="1"/>
  <c r="AB219" i="1" s="1" a="1"/>
  <c r="AB219" i="1" s="1"/>
  <c r="AB255" i="1" s="1" a="1"/>
  <c r="AB255" i="1" s="1"/>
  <c r="AB113" i="1" a="1"/>
  <c r="AB113" i="1" s="1"/>
  <c r="AB131" i="1" s="1" a="1"/>
  <c r="AB131" i="1" s="1"/>
  <c r="AB167" i="1" s="1" a="1"/>
  <c r="AB167" i="1" s="1"/>
  <c r="AB202" i="1" s="1" a="1"/>
  <c r="AB202" i="1" s="1"/>
  <c r="AB220" i="1" s="1" a="1"/>
  <c r="AB220" i="1" s="1"/>
  <c r="AB256" i="1" s="1" a="1"/>
  <c r="AB256" i="1" s="1"/>
  <c r="AB221" i="1" a="1"/>
  <c r="AB221" i="1" s="1"/>
  <c r="AB133" i="1" a="1"/>
  <c r="AB133" i="1" s="1"/>
  <c r="AB169" i="1" s="1" a="1"/>
  <c r="AB169" i="1" s="1"/>
  <c r="AB222" i="1" s="1" a="1"/>
  <c r="AB222" i="1" s="1"/>
  <c r="AB258" i="1" s="1" a="1"/>
  <c r="AB258" i="1" s="1"/>
  <c r="AB134" i="1" a="1"/>
  <c r="AB134" i="1" s="1"/>
  <c r="AB170" i="1" s="1" a="1"/>
  <c r="AB170" i="1" s="1"/>
  <c r="AB223" i="1" s="1" a="1"/>
  <c r="AB223" i="1" s="1"/>
  <c r="AB259" i="1" s="1" a="1"/>
  <c r="AB259" i="1" s="1"/>
  <c r="AB305" i="1" s="1" a="1"/>
  <c r="AB305" i="1" s="1"/>
  <c r="AB306" i="1" s="1" a="1"/>
  <c r="AB306" i="1" s="1"/>
  <c r="AB135" i="1" a="1"/>
  <c r="AB135" i="1" s="1"/>
  <c r="AB171" i="1" s="1" a="1"/>
  <c r="AB171" i="1" s="1"/>
  <c r="AB224" i="1" s="1" a="1"/>
  <c r="AB224" i="1" s="1"/>
  <c r="AB260" i="1" s="1" a="1"/>
  <c r="AB260" i="1" s="1"/>
  <c r="AB136" i="1" a="1"/>
  <c r="AB136" i="1" s="1"/>
  <c r="AB172" i="1" s="1" a="1"/>
  <c r="AB172" i="1" s="1"/>
  <c r="AB225" i="1" s="1" a="1"/>
  <c r="AB225" i="1" s="1"/>
  <c r="AB261" i="1" s="1" a="1"/>
  <c r="AB261" i="1" s="1"/>
  <c r="AB34" i="1" a="1"/>
  <c r="AB34" i="1" s="1"/>
  <c r="AB137" i="1" s="1" a="1"/>
  <c r="AB137" i="1" s="1"/>
  <c r="AB173" i="1" s="1" a="1"/>
  <c r="AB173" i="1" s="1"/>
  <c r="AB226" i="1" s="1" a="1"/>
  <c r="AB226" i="1" s="1"/>
  <c r="AB262" i="1" s="1" a="1"/>
  <c r="AB262" i="1" s="1"/>
  <c r="AB138" i="1" a="1"/>
  <c r="AB138" i="1" s="1"/>
  <c r="AB174" i="1" s="1" a="1"/>
  <c r="AB174" i="1" s="1"/>
  <c r="AB227" i="1" s="1" a="1"/>
  <c r="AB227" i="1" s="1"/>
  <c r="AB263" i="1" s="1" a="1"/>
  <c r="AB263" i="1" s="1"/>
  <c r="AB139" i="1" a="1"/>
  <c r="AB139" i="1" s="1"/>
  <c r="AB175" i="1" s="1" a="1"/>
  <c r="AB175" i="1" s="1"/>
  <c r="AB228" i="1" s="1" a="1"/>
  <c r="AB228" i="1" s="1"/>
  <c r="AB264" i="1" s="1" a="1"/>
  <c r="AB264" i="1" s="1"/>
  <c r="AB140" i="1" a="1"/>
  <c r="AB140" i="1" s="1"/>
  <c r="AB176" i="1" s="1" a="1"/>
  <c r="AB176" i="1" s="1"/>
  <c r="AB229" i="1" s="1" a="1"/>
  <c r="AB229" i="1" s="1"/>
  <c r="AB265" i="1" s="1" a="1"/>
  <c r="AB265" i="1" s="1"/>
  <c r="AB177" i="1" a="1"/>
  <c r="AB177" i="1" s="1"/>
  <c r="AB266" i="1" s="1" a="1"/>
  <c r="AB266" i="1" s="1"/>
  <c r="AB178" i="1" a="1"/>
  <c r="AB178" i="1" s="1"/>
  <c r="AB267" i="1" s="1" a="1"/>
  <c r="AB267" i="1" s="1"/>
  <c r="AB179" i="1" a="1"/>
  <c r="AB179" i="1" s="1"/>
  <c r="AB268" i="1" s="1" a="1"/>
  <c r="AB268" i="1" s="1"/>
  <c r="AB180" i="1" a="1"/>
  <c r="AB180" i="1" s="1"/>
  <c r="AB269" i="1" s="1" a="1"/>
  <c r="AB269" i="1" s="1"/>
  <c r="AB123" i="1" a="1"/>
  <c r="AB123" i="1" s="1"/>
  <c r="AB181" i="1" s="1" a="1"/>
  <c r="AB181" i="1" s="1"/>
  <c r="AB182" i="1" a="1"/>
  <c r="AB182" i="1" s="1"/>
  <c r="AB183" i="1" a="1"/>
  <c r="AB183" i="1" s="1"/>
  <c r="AB184" i="1" a="1"/>
  <c r="AB184" i="1" s="1"/>
  <c r="AB185" i="1" a="1"/>
  <c r="AB185" i="1" s="1"/>
  <c r="AB47" i="1" a="1"/>
  <c r="AB47" i="1" s="1"/>
  <c r="AB186" i="1" s="1" a="1"/>
  <c r="AB186" i="1" s="1"/>
  <c r="AB117" i="1" a="1"/>
  <c r="AB117" i="1" s="1"/>
  <c r="AB187" i="1" s="1" a="1"/>
  <c r="AB187" i="1" s="1"/>
  <c r="AB206" i="1" s="1" a="1"/>
  <c r="AB206" i="1" s="1"/>
  <c r="AB188" i="1" a="1"/>
  <c r="AB188" i="1" s="1"/>
  <c r="AB126" i="1" a="1"/>
  <c r="AB126" i="1" s="1"/>
  <c r="AB189" i="1" s="1" a="1"/>
  <c r="AB189" i="1" s="1"/>
  <c r="AB215" i="1" s="1" a="1"/>
  <c r="AB215" i="1" s="1"/>
  <c r="AB283" i="1" s="1" a="1"/>
  <c r="AB283" i="1" s="1"/>
  <c r="AB122" i="1" a="1"/>
  <c r="AB122" i="1" s="1"/>
  <c r="AB190" i="1" s="1" a="1"/>
  <c r="AB190" i="1" s="1"/>
  <c r="AB211" i="1" s="1" a="1"/>
  <c r="AB211" i="1" s="1"/>
  <c r="AB284" i="1" s="1" a="1"/>
  <c r="AB284" i="1" s="1"/>
  <c r="AB191" i="1" a="1"/>
  <c r="AB191" i="1" s="1"/>
  <c r="AB285" i="1" s="1" a="1"/>
  <c r="AB285" i="1" s="1"/>
  <c r="AB192" i="1" a="1"/>
  <c r="AB192" i="1" s="1"/>
  <c r="AB286" i="1" s="1" a="1"/>
  <c r="AB286" i="1" s="1"/>
  <c r="AB194" i="1" a="1"/>
  <c r="AB194" i="1" s="1"/>
  <c r="AB288" i="1" s="1" a="1"/>
  <c r="AB288" i="1" s="1"/>
  <c r="AB195" i="1" a="1"/>
  <c r="AB195" i="1" s="1"/>
  <c r="AB289" i="1" s="1" a="1"/>
  <c r="AB289" i="1" s="1"/>
  <c r="AB196" i="1" a="1"/>
  <c r="AB196" i="1" s="1"/>
  <c r="AB290" i="1" s="1" a="1"/>
  <c r="AB290" i="1" s="1"/>
  <c r="AB62" i="1" a="1"/>
  <c r="AB62" i="1" s="1"/>
  <c r="AB63" i="1" a="1"/>
  <c r="AB63" i="1" s="1"/>
  <c r="AB69" i="1" a="1"/>
  <c r="AB69" i="1" s="1"/>
  <c r="AB71" i="1" a="1"/>
  <c r="AB71" i="1" s="1"/>
  <c r="AB114" i="1" a="1"/>
  <c r="AB114" i="1" s="1"/>
  <c r="AB115" i="1" s="1" a="1"/>
  <c r="AB115" i="1" s="1"/>
  <c r="AB203" i="1" s="1" a="1"/>
  <c r="AB203" i="1" s="1"/>
  <c r="AB204" i="1" s="1" a="1"/>
  <c r="AB204" i="1" s="1"/>
  <c r="AB90" i="1" a="1"/>
  <c r="AB90" i="1" s="1"/>
  <c r="AB116" i="1" a="1"/>
  <c r="AB116" i="1" s="1"/>
  <c r="AB205" i="1" s="1" a="1"/>
  <c r="AB205" i="1" s="1"/>
  <c r="AB125" i="1" a="1"/>
  <c r="AB125" i="1" s="1"/>
  <c r="AB214" i="1" s="1" a="1"/>
  <c r="AB214" i="1" s="1"/>
  <c r="AB112" i="1" a="1"/>
  <c r="AB112" i="1" s="1"/>
  <c r="AB201" i="1" s="1" a="1"/>
  <c r="AB201" i="1" s="1"/>
  <c r="AB124" i="1" a="1"/>
  <c r="AB124" i="1" s="1"/>
  <c r="AB213" i="1" s="1" a="1"/>
  <c r="AB213" i="1" s="1"/>
  <c r="AB121" i="1" a="1"/>
  <c r="AB121" i="1" s="1"/>
  <c r="AB210" i="1" s="1" a="1"/>
  <c r="AB210" i="1" s="1"/>
  <c r="AB120" i="1" a="1"/>
  <c r="AB120" i="1" s="1"/>
  <c r="AB209" i="1" s="1" a="1"/>
  <c r="AB209" i="1" s="1"/>
  <c r="AB197" i="1" a="1"/>
  <c r="AB197" i="1" s="1"/>
  <c r="AB291" i="1" s="1" a="1"/>
  <c r="AB291" i="1" s="1"/>
  <c r="AB198" i="1" a="1"/>
  <c r="AB198" i="1" s="1"/>
  <c r="AB292" i="1" s="1" a="1"/>
  <c r="AB292" i="1" s="1"/>
  <c r="AB199" i="1" a="1"/>
  <c r="AB199" i="1" s="1"/>
  <c r="AB200" i="1" a="1"/>
  <c r="AB20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<sst xmlns="http://schemas.openxmlformats.org/spreadsheetml/2006/main" count="7422" uniqueCount="1208">
  <si>
    <t>名前</t>
  </si>
  <si>
    <t>アカウント</t>
  </si>
  <si>
    <t>アカウント数</t>
  </si>
  <si>
    <t>居住地</t>
  </si>
  <si>
    <t>年齢</t>
  </si>
  <si>
    <t>端末数</t>
  </si>
  <si>
    <t>IMEI</t>
  </si>
  <si>
    <t>キャリア</t>
  </si>
  <si>
    <t>購入日</t>
  </si>
  <si>
    <t>購入時間(JST)</t>
  </si>
  <si>
    <t>取引ID</t>
  </si>
  <si>
    <t>支払い方法</t>
  </si>
  <si>
    <t>アプリ名</t>
  </si>
  <si>
    <t>対象年齢</t>
  </si>
  <si>
    <t>アイテム名</t>
  </si>
  <si>
    <t>金額</t>
  </si>
  <si>
    <t>認証種別</t>
  </si>
  <si>
    <t>購入時認証</t>
  </si>
  <si>
    <t>決済状況</t>
  </si>
  <si>
    <t>所在地</t>
  </si>
  <si>
    <t>IPアドレス</t>
  </si>
  <si>
    <t>インストール日</t>
  </si>
  <si>
    <t>アラート</t>
  </si>
  <si>
    <t>調査依頼回数</t>
  </si>
  <si>
    <t>BIN</t>
  </si>
  <si>
    <t>OSバージョン</t>
  </si>
  <si>
    <t>デバイス名</t>
  </si>
  <si>
    <t>佐藤</t>
  </si>
  <si>
    <t>hoablxus</t>
  </si>
  <si>
    <t>2</t>
  </si>
  <si>
    <t>京都府福知山市</t>
  </si>
  <si>
    <t>33</t>
  </si>
  <si>
    <t>3</t>
  </si>
  <si>
    <t>005641146680722</t>
  </si>
  <si>
    <t>KDDI</t>
  </si>
  <si>
    <t>2026/04/01</t>
  </si>
  <si>
    <t>FAA.836-127</t>
  </si>
  <si>
    <t>クレジットカード(American Express)</t>
  </si>
  <si>
    <t>モンスタ〇ストライク</t>
  </si>
  <si>
    <t>4+</t>
  </si>
  <si>
    <t>オーブ 175個</t>
  </si>
  <si>
    <t>10000</t>
  </si>
  <si>
    <t>BIO</t>
  </si>
  <si>
    <t>Success</t>
  </si>
  <si>
    <t>approved</t>
  </si>
  <si>
    <t>Japan(京都府福知山市)</t>
  </si>
  <si>
    <t>153.150.33.64</t>
  </si>
  <si>
    <t>2026/03/31</t>
  </si>
  <si>
    <t>なし</t>
  </si>
  <si>
    <t>0</t>
  </si>
  <si>
    <t>498007</t>
  </si>
  <si>
    <t>13</t>
  </si>
  <si>
    <t>AQUOS sense8</t>
  </si>
  <si>
    <t>Wi-Fi</t>
  </si>
  <si>
    <t>鈴木</t>
  </si>
  <si>
    <t>liypk</t>
  </si>
  <si>
    <t>福岡県福岡市博多区</t>
  </si>
  <si>
    <t>66</t>
  </si>
  <si>
    <t>295538594934797</t>
  </si>
  <si>
    <t>Rakuten Mobile</t>
  </si>
  <si>
    <t>01:42:05</t>
  </si>
  <si>
    <t>FAA.492-661</t>
  </si>
  <si>
    <t>クレジットカード(Visa)</t>
  </si>
  <si>
    <t>勝利の女神〇NIKKE</t>
  </si>
  <si>
    <t>17+</t>
  </si>
  <si>
    <t>ジュエル 1500個</t>
  </si>
  <si>
    <t>3200</t>
  </si>
  <si>
    <t>Japan(福岡県福岡市博多区)</t>
  </si>
  <si>
    <t>60.64.4.19</t>
  </si>
  <si>
    <t>453416</t>
  </si>
  <si>
    <t>14</t>
  </si>
  <si>
    <t>Pixel 8</t>
  </si>
  <si>
    <t>高橋</t>
  </si>
  <si>
    <t>onhggnaepw</t>
  </si>
  <si>
    <t>神奈川県横浜市中区</t>
  </si>
  <si>
    <t>64</t>
  </si>
  <si>
    <t>940887042662288</t>
  </si>
  <si>
    <t>NTT DOCOMO</t>
  </si>
  <si>
    <t>02:20:11</t>
  </si>
  <si>
    <t>FAA.118-940</t>
  </si>
  <si>
    <t>キャリア決済</t>
  </si>
  <si>
    <t>Japan(神奈川県横浜市中区)</t>
  </si>
  <si>
    <t>352811</t>
  </si>
  <si>
    <t>12</t>
  </si>
  <si>
    <t>Xperia 5 IV</t>
  </si>
  <si>
    <t>Mobile</t>
  </si>
  <si>
    <t>田中</t>
  </si>
  <si>
    <t>rioqqyh</t>
  </si>
  <si>
    <t>大阪府大阪市北区</t>
  </si>
  <si>
    <t>40</t>
  </si>
  <si>
    <t>5</t>
  </si>
  <si>
    <t>661846611482634</t>
  </si>
  <si>
    <t>FAA.242-568</t>
  </si>
  <si>
    <t>ディズニ〇ツムツム</t>
  </si>
  <si>
    <t>ルビー 100個</t>
  </si>
  <si>
    <t>980</t>
  </si>
  <si>
    <t>Japan(大阪府大阪市北区)</t>
  </si>
  <si>
    <t>153.142.12.45</t>
  </si>
  <si>
    <t>伊藤</t>
  </si>
  <si>
    <t>nxkcezwk</t>
  </si>
  <si>
    <t>東京都新宿区</t>
  </si>
  <si>
    <t>31</t>
  </si>
  <si>
    <t>937973902378043</t>
  </si>
  <si>
    <t>FAA.965-879</t>
  </si>
  <si>
    <t>パズル〇ドラゴンズ</t>
  </si>
  <si>
    <t>30日ダンジョンパス</t>
  </si>
  <si>
    <t>Japan(東京都新宿区)</t>
  </si>
  <si>
    <t>Pixel 7</t>
  </si>
  <si>
    <t>渡辺</t>
  </si>
  <si>
    <t>tfpuk</t>
  </si>
  <si>
    <t>和歌山県和歌山市</t>
  </si>
  <si>
    <t>63</t>
  </si>
  <si>
    <t>596746693071732</t>
  </si>
  <si>
    <t>ギフトカード残高</t>
  </si>
  <si>
    <t>ア〇クナイツ</t>
  </si>
  <si>
    <t>12+</t>
  </si>
  <si>
    <t>純正源石×20</t>
  </si>
  <si>
    <t>1600</t>
  </si>
  <si>
    <t>Japan(和歌山県和歌山市)</t>
  </si>
  <si>
    <t>山本</t>
  </si>
  <si>
    <t>nwspkg</t>
  </si>
  <si>
    <t>36</t>
  </si>
  <si>
    <t>693405113861217</t>
  </si>
  <si>
    <t>09:05:47</t>
  </si>
  <si>
    <t>FAA.772-205</t>
  </si>
  <si>
    <t>クレジットカード(JCB)</t>
  </si>
  <si>
    <t>Fate/Grand 〇rder</t>
  </si>
  <si>
    <t>聖晶石 167個</t>
  </si>
  <si>
    <t>Galaxy S23</t>
  </si>
  <si>
    <t>中村</t>
  </si>
  <si>
    <t>xgttzcjya</t>
  </si>
  <si>
    <t>北海道札幌市中央区</t>
  </si>
  <si>
    <t>51</t>
  </si>
  <si>
    <t>614492407555726</t>
  </si>
  <si>
    <t>SoftBank</t>
  </si>
  <si>
    <t>10:45:19</t>
  </si>
  <si>
    <t>FAA.319-882</t>
  </si>
  <si>
    <t>クレジットカード(Mastercard)</t>
  </si>
  <si>
    <t>プロ野球スピリッツ〇</t>
  </si>
  <si>
    <t>エナジー 110個</t>
  </si>
  <si>
    <t>1480</t>
  </si>
  <si>
    <t>Japan(北海道札幌市中央区)</t>
  </si>
  <si>
    <t>541011</t>
  </si>
  <si>
    <t>小林</t>
  </si>
  <si>
    <t>uviegflz</t>
  </si>
  <si>
    <t>4</t>
  </si>
  <si>
    <t>福島県郡山市</t>
  </si>
  <si>
    <t>44</t>
  </si>
  <si>
    <t>922411905803963</t>
  </si>
  <si>
    <t>FAA.640-108</t>
  </si>
  <si>
    <t>Japan(福島県郡山市)</t>
  </si>
  <si>
    <t>加藤</t>
  </si>
  <si>
    <t>ipxcjonehg</t>
  </si>
  <si>
    <t>奈良県生駒市</t>
  </si>
  <si>
    <t>19</t>
  </si>
  <si>
    <t>930931595011587</t>
  </si>
  <si>
    <t>15:20:55</t>
  </si>
  <si>
    <t>FAA.403-997</t>
  </si>
  <si>
    <t>荒野行〇</t>
  </si>
  <si>
    <t>金券 1280</t>
  </si>
  <si>
    <t>2000</t>
  </si>
  <si>
    <t>Japan(奈良県生駒市)</t>
  </si>
  <si>
    <t>吉田</t>
  </si>
  <si>
    <t>ffscwwyfq</t>
  </si>
  <si>
    <t>茨城県水戸市</t>
  </si>
  <si>
    <t>24</t>
  </si>
  <si>
    <t>827571080090821</t>
  </si>
  <si>
    <t>2026/04/02</t>
  </si>
  <si>
    <t>01:05:12</t>
  </si>
  <si>
    <t>FAA.185-422</t>
  </si>
  <si>
    <t>Japan(茨城県水戸市)</t>
  </si>
  <si>
    <t>山田</t>
  </si>
  <si>
    <t>nlzwdps</t>
  </si>
  <si>
    <t>1</t>
  </si>
  <si>
    <t>富山県南砺市</t>
  </si>
  <si>
    <t>21</t>
  </si>
  <si>
    <t>521951834295619</t>
  </si>
  <si>
    <t>FAA.906-113</t>
  </si>
  <si>
    <t>初心者パック</t>
  </si>
  <si>
    <t>480</t>
  </si>
  <si>
    <t>Japan(富山県南砺市)</t>
  </si>
  <si>
    <t>佐々木</t>
  </si>
  <si>
    <t>gftco</t>
  </si>
  <si>
    <t>栃木県足利市</t>
  </si>
  <si>
    <t>883378841183251</t>
  </si>
  <si>
    <t>05:12:55</t>
  </si>
  <si>
    <t>FAA.227-834</t>
  </si>
  <si>
    <t>魔法石100個</t>
  </si>
  <si>
    <t>8000</t>
  </si>
  <si>
    <t>Japan(栃木県足利市)</t>
  </si>
  <si>
    <t>山口</t>
  </si>
  <si>
    <t>ukkwv</t>
  </si>
  <si>
    <t>群馬県渋川市</t>
  </si>
  <si>
    <t>65</t>
  </si>
  <si>
    <t>426200785026346</t>
  </si>
  <si>
    <t>08:20:01</t>
  </si>
  <si>
    <t>FAA.551-096</t>
  </si>
  <si>
    <t>マンスリーパス</t>
  </si>
  <si>
    <t>610</t>
  </si>
  <si>
    <t>Japan(群馬県渋川市)</t>
  </si>
  <si>
    <t>121.80.12.98</t>
  </si>
  <si>
    <t>松本</t>
  </si>
  <si>
    <t>miczfzrg</t>
  </si>
  <si>
    <t>埼玉県さいたま市</t>
  </si>
  <si>
    <t>42</t>
  </si>
  <si>
    <t>563229451830933</t>
  </si>
  <si>
    <t>10:33:44</t>
  </si>
  <si>
    <t>FAA.884-721</t>
  </si>
  <si>
    <t>プレミアムバトルパス</t>
  </si>
  <si>
    <t>120</t>
  </si>
  <si>
    <t>Japan(埼玉県さいたま市)</t>
  </si>
  <si>
    <t>井上</t>
  </si>
  <si>
    <t>mozcbz</t>
  </si>
  <si>
    <t>佐賀県唐津市</t>
  </si>
  <si>
    <t>886758484175602</t>
  </si>
  <si>
    <t>13:15:09</t>
  </si>
  <si>
    <t>FAA.019-335</t>
  </si>
  <si>
    <t>ウマ娘 プリティ〇ダービー</t>
  </si>
  <si>
    <t>ジュエル 160個</t>
  </si>
  <si>
    <t>320</t>
  </si>
  <si>
    <t>Japan(佐賀県唐津市)</t>
  </si>
  <si>
    <t>114.160.15.42</t>
  </si>
  <si>
    <t>木村</t>
  </si>
  <si>
    <t>lqanykthq</t>
  </si>
  <si>
    <t>鳥取県鳥取市</t>
  </si>
  <si>
    <t>903225292843948</t>
  </si>
  <si>
    <t>16:45:55</t>
  </si>
  <si>
    <t>FAA.442-668</t>
  </si>
  <si>
    <t>オーブ 30個</t>
  </si>
  <si>
    <t>Japan(鳥取県鳥取市)</t>
  </si>
  <si>
    <t>林</t>
  </si>
  <si>
    <t>qzvcc</t>
  </si>
  <si>
    <t>愛知県名古屋市中村区</t>
  </si>
  <si>
    <t>62</t>
  </si>
  <si>
    <t>925741566347342</t>
  </si>
  <si>
    <t>FAA.773-102</t>
  </si>
  <si>
    <t>Identity V (第〇人格)</t>
  </si>
  <si>
    <t>推理の径パック</t>
  </si>
  <si>
    <t>500</t>
  </si>
  <si>
    <t>Japan(愛知県名古屋市中村区)</t>
  </si>
  <si>
    <t>斎藤</t>
  </si>
  <si>
    <t>jwpagy</t>
  </si>
  <si>
    <t>985046819524059</t>
  </si>
  <si>
    <t>21:20:30</t>
  </si>
  <si>
    <t>FAA.991-054</t>
  </si>
  <si>
    <t>清水</t>
  </si>
  <si>
    <t>vujewdgb</t>
  </si>
  <si>
    <t>29</t>
  </si>
  <si>
    <t>431493155124928</t>
  </si>
  <si>
    <t>FAA.112-885</t>
  </si>
  <si>
    <t>ブル〇アーカイブ</t>
  </si>
  <si>
    <t>青輝石 4800個</t>
  </si>
  <si>
    <t>山崎</t>
  </si>
  <si>
    <t>lutfn</t>
  </si>
  <si>
    <t>滋賀県草津市</t>
  </si>
  <si>
    <t>26</t>
  </si>
  <si>
    <t>916277278070522</t>
  </si>
  <si>
    <t>2026/04/03</t>
  </si>
  <si>
    <t>02:14:22</t>
  </si>
  <si>
    <t>FAA.603-441</t>
  </si>
  <si>
    <t>Japan(滋賀県草津市)</t>
  </si>
  <si>
    <t>阿部</t>
  </si>
  <si>
    <t>tyzzsdlr</t>
  </si>
  <si>
    <t>福岡県春日市</t>
  </si>
  <si>
    <t>178226592302063</t>
  </si>
  <si>
    <t>FAA.291-887</t>
  </si>
  <si>
    <t>Japan(福岡県春日市)</t>
  </si>
  <si>
    <t>森</t>
  </si>
  <si>
    <t>dkbucm</t>
  </si>
  <si>
    <t>766930069536050</t>
  </si>
  <si>
    <t>07:05:11</t>
  </si>
  <si>
    <t>FAA.882-331</t>
  </si>
  <si>
    <t>原〇</t>
  </si>
  <si>
    <t>創世結晶×6480</t>
  </si>
  <si>
    <t>池田</t>
  </si>
  <si>
    <t>eykfjrvgru</t>
  </si>
  <si>
    <t>三重県津市</t>
  </si>
  <si>
    <t>083444964661969</t>
  </si>
  <si>
    <t>FAA.445-119</t>
  </si>
  <si>
    <t>PWD</t>
  </si>
  <si>
    <t>Japan(三重県津市)</t>
  </si>
  <si>
    <t>橋本</t>
  </si>
  <si>
    <t>mamzgbsk</t>
  </si>
  <si>
    <t>新潟県三条市</t>
  </si>
  <si>
    <t>48</t>
  </si>
  <si>
    <t>473154832350013</t>
  </si>
  <si>
    <t>11:55:33</t>
  </si>
  <si>
    <t>FAC.002-665</t>
  </si>
  <si>
    <t>Japan(新潟県三条市)</t>
  </si>
  <si>
    <t>山下</t>
  </si>
  <si>
    <t>yxnyb</t>
  </si>
  <si>
    <t>広島県広島市</t>
  </si>
  <si>
    <t>38</t>
  </si>
  <si>
    <t>196275591629921</t>
  </si>
  <si>
    <t>FAA.771-224</t>
  </si>
  <si>
    <t>メルペイ</t>
  </si>
  <si>
    <t>初心者応援パック</t>
  </si>
  <si>
    <t>Japan(広島県広島市)</t>
  </si>
  <si>
    <t>石川</t>
  </si>
  <si>
    <t>iagca</t>
  </si>
  <si>
    <t>福岡県福岡市早良区</t>
  </si>
  <si>
    <t>527075220128739</t>
  </si>
  <si>
    <t>16:33:19</t>
  </si>
  <si>
    <t>FAA.339-001</t>
  </si>
  <si>
    <t>エナジー 760個</t>
  </si>
  <si>
    <t>Japan(福岡県福岡市早良区)</t>
  </si>
  <si>
    <t>中島</t>
  </si>
  <si>
    <t>utgofzzaw</t>
  </si>
  <si>
    <t>長崎県平戸市</t>
  </si>
  <si>
    <t>23</t>
  </si>
  <si>
    <t>610564978367900</t>
  </si>
  <si>
    <t>18:05:55</t>
  </si>
  <si>
    <t>FAA.116-882</t>
  </si>
  <si>
    <t>Japan(長崎県平戸市)</t>
  </si>
  <si>
    <t>前田</t>
  </si>
  <si>
    <t>ugzigzix</t>
  </si>
  <si>
    <t>福岡県大野城市</t>
  </si>
  <si>
    <t>243657049302487</t>
  </si>
  <si>
    <t>20:20:11</t>
  </si>
  <si>
    <t>金券 6480</t>
  </si>
  <si>
    <t>Japan(福岡県大野城市)</t>
  </si>
  <si>
    <t>仲宗根</t>
  </si>
  <si>
    <t>alciudyb</t>
  </si>
  <si>
    <t>沖縄県那覇市</t>
  </si>
  <si>
    <t>70</t>
  </si>
  <si>
    <t>510318584425511</t>
  </si>
  <si>
    <t>22:45:00</t>
  </si>
  <si>
    <t>FAA.997-114</t>
  </si>
  <si>
    <t>ジュエル 6200個</t>
  </si>
  <si>
    <t>Japan(沖縄県那覇市)</t>
  </si>
  <si>
    <t>小川</t>
  </si>
  <si>
    <t>nvnvxjyzww</t>
  </si>
  <si>
    <t>32</t>
  </si>
  <si>
    <t>651369259131580</t>
  </si>
  <si>
    <t>2026/04/04</t>
  </si>
  <si>
    <t>01:10:33</t>
  </si>
  <si>
    <t>岡田</t>
  </si>
  <si>
    <t>tlglnmoqe</t>
  </si>
  <si>
    <t>長野県上田市</t>
  </si>
  <si>
    <t>540281813574757</t>
  </si>
  <si>
    <t>FAA.665-221</t>
  </si>
  <si>
    <t>Japan(長野県上田市)</t>
  </si>
  <si>
    <t>後藤</t>
  </si>
  <si>
    <t>umtvv</t>
  </si>
  <si>
    <t>846114624962455</t>
  </si>
  <si>
    <t>FAA.009-443</t>
  </si>
  <si>
    <t>エコー 1000</t>
  </si>
  <si>
    <t>長谷川</t>
  </si>
  <si>
    <t>dygbgttwnc</t>
  </si>
  <si>
    <t>岐阜県大垣市</t>
  </si>
  <si>
    <t>27</t>
  </si>
  <si>
    <t>947279817488610</t>
  </si>
  <si>
    <t>09:55:01</t>
  </si>
  <si>
    <t>FAA.881-772</t>
  </si>
  <si>
    <t>Japan(岐阜県大垣市)</t>
  </si>
  <si>
    <t>村上</t>
  </si>
  <si>
    <t>btmnkmpnx</t>
  </si>
  <si>
    <t>大分県別府市</t>
  </si>
  <si>
    <t>35</t>
  </si>
  <si>
    <t>202271049692310</t>
  </si>
  <si>
    <t>12:12:33</t>
  </si>
  <si>
    <t>FAA.443-110</t>
  </si>
  <si>
    <t>福袋召喚セット</t>
  </si>
  <si>
    <t>3000</t>
  </si>
  <si>
    <t>Japan(大分県別府市)</t>
  </si>
  <si>
    <t>近藤</t>
  </si>
  <si>
    <t>eukeeqhfu</t>
  </si>
  <si>
    <t>島根県出雲市</t>
  </si>
  <si>
    <t>56</t>
  </si>
  <si>
    <t>264122947098950</t>
  </si>
  <si>
    <t>14:40:22</t>
  </si>
  <si>
    <t>FAA.112-995</t>
  </si>
  <si>
    <t>Japan(島根県出雲市)</t>
  </si>
  <si>
    <t>石井</t>
  </si>
  <si>
    <t>gtgdkq</t>
  </si>
  <si>
    <t>千葉県柏市</t>
  </si>
  <si>
    <t>171035233076002</t>
  </si>
  <si>
    <t>16:05:19</t>
  </si>
  <si>
    <t>FAA.556-334</t>
  </si>
  <si>
    <t>Japan(千葉県柏市)</t>
  </si>
  <si>
    <t>斉藤</t>
  </si>
  <si>
    <t>jfezo</t>
  </si>
  <si>
    <t>309846633930085</t>
  </si>
  <si>
    <t>18:20:55</t>
  </si>
  <si>
    <t>FAA.993-001</t>
  </si>
  <si>
    <t>坂本</t>
  </si>
  <si>
    <t>fdgev</t>
  </si>
  <si>
    <t>28</t>
  </si>
  <si>
    <t>509932578437409</t>
  </si>
  <si>
    <t>21:45:02</t>
  </si>
  <si>
    <t>FAA.774-228</t>
  </si>
  <si>
    <t>遠藤</t>
  </si>
  <si>
    <t>zvsuf</t>
  </si>
  <si>
    <t>大阪府豊中市</t>
  </si>
  <si>
    <t>17</t>
  </si>
  <si>
    <t>477385838658218</t>
  </si>
  <si>
    <t>23:10:11</t>
  </si>
  <si>
    <t>FAA.331-886</t>
  </si>
  <si>
    <t>月影パック</t>
  </si>
  <si>
    <t>Japan(大阪府豊中市)</t>
  </si>
  <si>
    <t>青木</t>
  </si>
  <si>
    <t>tcnkwujw</t>
  </si>
  <si>
    <t>岩手県花巻市</t>
  </si>
  <si>
    <t>39</t>
  </si>
  <si>
    <t>608514760275117</t>
  </si>
  <si>
    <t>2026/04/05</t>
  </si>
  <si>
    <t>FAA.662-445</t>
  </si>
  <si>
    <t>Japan(岩手県花巻市)</t>
  </si>
  <si>
    <t>藤井</t>
  </si>
  <si>
    <t>vufhvn</t>
  </si>
  <si>
    <t>FAA.005-112</t>
  </si>
  <si>
    <t>西村</t>
  </si>
  <si>
    <t>tiwygbf</t>
  </si>
  <si>
    <t>567103775717350</t>
  </si>
  <si>
    <t>FAA.887-336</t>
  </si>
  <si>
    <t>福田</t>
  </si>
  <si>
    <t>eaanbc</t>
  </si>
  <si>
    <t>山梨県南部町</t>
  </si>
  <si>
    <t>344849173021809</t>
  </si>
  <si>
    <t>10:45:55</t>
  </si>
  <si>
    <t>FAA.441-998</t>
  </si>
  <si>
    <t>Japan(山梨県南部町)</t>
  </si>
  <si>
    <t>太田</t>
  </si>
  <si>
    <t>zxvnknri</t>
  </si>
  <si>
    <t>22</t>
  </si>
  <si>
    <t>276906217144143</t>
  </si>
  <si>
    <t>13:20:12</t>
  </si>
  <si>
    <t>FAA.119-002</t>
  </si>
  <si>
    <t>三浦</t>
  </si>
  <si>
    <t>xrqaq</t>
  </si>
  <si>
    <t>静岡県掛川市</t>
  </si>
  <si>
    <t>49</t>
  </si>
  <si>
    <t>036582853378700</t>
  </si>
  <si>
    <t>FAA.552-774</t>
  </si>
  <si>
    <t>崩壊〇スターレイル</t>
  </si>
  <si>
    <t>往日の夢華×980</t>
  </si>
  <si>
    <t>1500</t>
  </si>
  <si>
    <t>Japan(静岡県掛川市)</t>
  </si>
  <si>
    <t>藤原</t>
  </si>
  <si>
    <t>pjbuq</t>
  </si>
  <si>
    <t>東京都世田谷区</t>
  </si>
  <si>
    <t>329571223853857</t>
  </si>
  <si>
    <t>19:12:33</t>
  </si>
  <si>
    <t>FAA.995-111</t>
  </si>
  <si>
    <t>Japan(東京都世田谷区)</t>
  </si>
  <si>
    <t>岡本</t>
  </si>
  <si>
    <t>xnrvhephb</t>
  </si>
  <si>
    <t>兵庫県芦屋市</t>
  </si>
  <si>
    <t>173000128725531</t>
  </si>
  <si>
    <t>21:40:22</t>
  </si>
  <si>
    <t>FAA.776-339</t>
  </si>
  <si>
    <t>Japan(兵庫県芦屋市)</t>
  </si>
  <si>
    <t>松田</t>
  </si>
  <si>
    <t>dklursuiur</t>
  </si>
  <si>
    <t>宮城県仙台市</t>
  </si>
  <si>
    <t>20</t>
  </si>
  <si>
    <t>521029304165110</t>
  </si>
  <si>
    <t>23:05:19</t>
  </si>
  <si>
    <t>FAA.334-882</t>
  </si>
  <si>
    <t>往日の夢華×6480</t>
  </si>
  <si>
    <t>Japan(宮城県仙台市)</t>
  </si>
  <si>
    <t>中川</t>
  </si>
  <si>
    <t>ruwfn</t>
  </si>
  <si>
    <t>秋田県秋田市</t>
  </si>
  <si>
    <t>021702017036146</t>
  </si>
  <si>
    <t>23:55:55</t>
  </si>
  <si>
    <t>FAA.111-663</t>
  </si>
  <si>
    <t>Japan(秋田県秋田市)</t>
  </si>
  <si>
    <t>中野</t>
  </si>
  <si>
    <t>sgwjqhbso</t>
  </si>
  <si>
    <t>徳島県阿南市</t>
  </si>
  <si>
    <t>55</t>
  </si>
  <si>
    <t>327543454777408</t>
  </si>
  <si>
    <t>2026/04/06</t>
  </si>
  <si>
    <t>Japan(徳島県阿南市)</t>
  </si>
  <si>
    <t>原田</t>
  </si>
  <si>
    <t>gucbouv</t>
  </si>
  <si>
    <t>愛媛県松山市</t>
  </si>
  <si>
    <t>436873778516702</t>
  </si>
  <si>
    <t>06:45:33</t>
  </si>
  <si>
    <t>FAA.883-004</t>
  </si>
  <si>
    <t>Japan(愛媛県松山市)</t>
  </si>
  <si>
    <t>小野</t>
  </si>
  <si>
    <t>yyyoqpzb</t>
  </si>
  <si>
    <t>岡山県岡山市</t>
  </si>
  <si>
    <t>865257896300552</t>
  </si>
  <si>
    <t>09:20:11</t>
  </si>
  <si>
    <t>FAA.221-775</t>
  </si>
  <si>
    <t>ジュエル 7500個</t>
  </si>
  <si>
    <t>Japan(岡山県岡山市)</t>
  </si>
  <si>
    <t>田村</t>
  </si>
  <si>
    <t>afekncecs</t>
  </si>
  <si>
    <t>41</t>
  </si>
  <si>
    <t>418170370126079</t>
  </si>
  <si>
    <t>12:55:44</t>
  </si>
  <si>
    <t>FAA.669-113</t>
  </si>
  <si>
    <t>魔法石10個</t>
  </si>
  <si>
    <t>800</t>
  </si>
  <si>
    <t>竹内</t>
  </si>
  <si>
    <t>awtuxvtks</t>
  </si>
  <si>
    <t>宮崎県都城市</t>
  </si>
  <si>
    <t>026255664765215</t>
  </si>
  <si>
    <t>15:15:09</t>
  </si>
  <si>
    <t>FAA.004-996</t>
  </si>
  <si>
    <t>Sランク確定スカウト</t>
  </si>
  <si>
    <t>Japan(宮崎県都城市)</t>
  </si>
  <si>
    <t>金子</t>
  </si>
  <si>
    <t>gtjatdb</t>
  </si>
  <si>
    <t>335822915484324</t>
  </si>
  <si>
    <t>18:40:22</t>
  </si>
  <si>
    <t>FAA.889-331</t>
  </si>
  <si>
    <t>和田</t>
  </si>
  <si>
    <t>eqbtty</t>
  </si>
  <si>
    <t>岩手県盛岡市</t>
  </si>
  <si>
    <t>30</t>
  </si>
  <si>
    <t>597579799666514</t>
  </si>
  <si>
    <t>21:05:19</t>
  </si>
  <si>
    <t>FAA.442-772</t>
  </si>
  <si>
    <t>プロジェクトセカ〇</t>
  </si>
  <si>
    <t>クリスタル 10000個</t>
  </si>
  <si>
    <t>Japan(岩手県盛岡市)</t>
  </si>
  <si>
    <t>中山</t>
  </si>
  <si>
    <t>kfzfyefm</t>
  </si>
  <si>
    <t>953209259910575</t>
  </si>
  <si>
    <t>22:33:55</t>
  </si>
  <si>
    <t>FAA.115-004</t>
  </si>
  <si>
    <t>ペイパル</t>
  </si>
  <si>
    <t>石田</t>
  </si>
  <si>
    <t>avwch</t>
  </si>
  <si>
    <t>46</t>
  </si>
  <si>
    <t>626837503580116</t>
  </si>
  <si>
    <t>23:20:11</t>
  </si>
  <si>
    <t>FAA.551-667</t>
  </si>
  <si>
    <t>上田</t>
  </si>
  <si>
    <t>nfofwbrppa</t>
  </si>
  <si>
    <t>鹿児島県鹿児島市</t>
  </si>
  <si>
    <t>796492430719022</t>
  </si>
  <si>
    <t>FAA.998-115</t>
  </si>
  <si>
    <t>コンビニ決済</t>
  </si>
  <si>
    <t>Japan(鹿児島県鹿児島市)</t>
  </si>
  <si>
    <t>森田</t>
  </si>
  <si>
    <t>usegtsc</t>
  </si>
  <si>
    <t>773343710741650</t>
  </si>
  <si>
    <t>2026/04/07</t>
  </si>
  <si>
    <t>FAA.332-881</t>
  </si>
  <si>
    <t>月一パッケージ</t>
  </si>
  <si>
    <t>1000</t>
  </si>
  <si>
    <t>小島</t>
  </si>
  <si>
    <t>sxbahbezd</t>
  </si>
  <si>
    <t>25</t>
  </si>
  <si>
    <t>198339103618805</t>
  </si>
  <si>
    <t>FAA.771-443</t>
  </si>
  <si>
    <t>柴田</t>
  </si>
  <si>
    <t>lrbsnikwg</t>
  </si>
  <si>
    <t>香川県高松市</t>
  </si>
  <si>
    <t>621817957205813</t>
  </si>
  <si>
    <t>08:12:44</t>
  </si>
  <si>
    <t>FAA.114-002</t>
  </si>
  <si>
    <t>Japan(香川県高松市)</t>
  </si>
  <si>
    <t>原</t>
  </si>
  <si>
    <t>jiqvsmlrw</t>
  </si>
  <si>
    <t>560719033415873</t>
  </si>
  <si>
    <t>11:45:22</t>
  </si>
  <si>
    <t>FAA.557-779</t>
  </si>
  <si>
    <t>エコー 6480</t>
  </si>
  <si>
    <t>宮崎</t>
  </si>
  <si>
    <t>klpqelttc</t>
  </si>
  <si>
    <t>300691437969675</t>
  </si>
  <si>
    <t>14:05:11</t>
  </si>
  <si>
    <t>FAA.992-111</t>
  </si>
  <si>
    <t>酒井</t>
  </si>
  <si>
    <t>ilnbmbi</t>
  </si>
  <si>
    <t>68</t>
  </si>
  <si>
    <t>710540204916163</t>
  </si>
  <si>
    <t>17:33:44</t>
  </si>
  <si>
    <t>FAA.449-336</t>
  </si>
  <si>
    <t>工藤</t>
  </si>
  <si>
    <t>uufqhxpdub</t>
  </si>
  <si>
    <t>青森県つがる市</t>
  </si>
  <si>
    <t>60</t>
  </si>
  <si>
    <t>426948841976061</t>
  </si>
  <si>
    <t>20:15:09</t>
  </si>
  <si>
    <t>FAA.003-884</t>
  </si>
  <si>
    <t>青輝石 1200個</t>
  </si>
  <si>
    <t>2400</t>
  </si>
  <si>
    <t>Japan(青森県つがる市)</t>
  </si>
  <si>
    <t>横山</t>
  </si>
  <si>
    <t>jjmbdwi</t>
  </si>
  <si>
    <t>69</t>
  </si>
  <si>
    <t>320959872674924</t>
  </si>
  <si>
    <t>21:40:55</t>
  </si>
  <si>
    <t>FAA.886-221</t>
  </si>
  <si>
    <t>安藤</t>
  </si>
  <si>
    <t>kuabiagr</t>
  </si>
  <si>
    <t>072873524386651</t>
  </si>
  <si>
    <t>22:55:12</t>
  </si>
  <si>
    <t>FAA.224-003</t>
  </si>
  <si>
    <t>宮本</t>
  </si>
  <si>
    <t>nqyiis</t>
  </si>
  <si>
    <t>838276967679157</t>
  </si>
  <si>
    <t>23:45:33</t>
  </si>
  <si>
    <t>FAA.661-774</t>
  </si>
  <si>
    <t>内田</t>
  </si>
  <si>
    <t>utlvbca</t>
  </si>
  <si>
    <t>山口県下関市</t>
  </si>
  <si>
    <t>195196132940979</t>
  </si>
  <si>
    <t>2026/04/08</t>
  </si>
  <si>
    <t>01:20:11</t>
  </si>
  <si>
    <t>FAA.113-992</t>
  </si>
  <si>
    <t>Japan(山口県下関市)</t>
  </si>
  <si>
    <t>高木</t>
  </si>
  <si>
    <t>kxhiak</t>
  </si>
  <si>
    <t>福井県敦賀市</t>
  </si>
  <si>
    <t>639958074182226</t>
  </si>
  <si>
    <t>04:55:44</t>
  </si>
  <si>
    <t>FAA.554-331</t>
  </si>
  <si>
    <t>Japan(福井県敦賀市)</t>
  </si>
  <si>
    <t>安達</t>
  </si>
  <si>
    <t>jgnpv</t>
  </si>
  <si>
    <t>269927619758642</t>
  </si>
  <si>
    <t>07:15:09</t>
  </si>
  <si>
    <t>FAA.997-005</t>
  </si>
  <si>
    <t>谷口</t>
  </si>
  <si>
    <t>estqgr</t>
  </si>
  <si>
    <t>福岡県糸島市</t>
  </si>
  <si>
    <t>907283539890508</t>
  </si>
  <si>
    <t>10:40:22</t>
  </si>
  <si>
    <t>FAA.441-776</t>
  </si>
  <si>
    <t>Japan(福岡県糸島市)</t>
  </si>
  <si>
    <t>丸山</t>
  </si>
  <si>
    <t>jpsuu</t>
  </si>
  <si>
    <t>50</t>
  </si>
  <si>
    <t>450484279806192</t>
  </si>
  <si>
    <t>13:05:19</t>
  </si>
  <si>
    <t>FAA.006-113</t>
  </si>
  <si>
    <t>今井</t>
  </si>
  <si>
    <t>btoxll</t>
  </si>
  <si>
    <t>59</t>
  </si>
  <si>
    <t>318914609181902</t>
  </si>
  <si>
    <t>15:33:55</t>
  </si>
  <si>
    <t>FAA.882-889</t>
  </si>
  <si>
    <t>河野</t>
  </si>
  <si>
    <t>vtoehz</t>
  </si>
  <si>
    <t>熊本県熊本市</t>
  </si>
  <si>
    <t>511091749134511</t>
  </si>
  <si>
    <t>18:20:11</t>
  </si>
  <si>
    <t>FAA.227-442</t>
  </si>
  <si>
    <t>藤本</t>
  </si>
  <si>
    <t>dmewt</t>
  </si>
  <si>
    <t>山口県防府市</t>
  </si>
  <si>
    <t>642284054739888</t>
  </si>
  <si>
    <t>20:55:01</t>
  </si>
  <si>
    <t>FAA.664-001</t>
  </si>
  <si>
    <t>Japan(山口県防府市)</t>
  </si>
  <si>
    <t>小山</t>
  </si>
  <si>
    <t>fbqng</t>
  </si>
  <si>
    <t>福岡県筑紫野市</t>
  </si>
  <si>
    <t>688776271436111</t>
  </si>
  <si>
    <t>22:12:33</t>
  </si>
  <si>
    <t>FAA.119-775</t>
  </si>
  <si>
    <t>Japan(福岡県筑紫野市)</t>
  </si>
  <si>
    <t>村田</t>
  </si>
  <si>
    <t>rovcf</t>
  </si>
  <si>
    <t>508966240969656</t>
  </si>
  <si>
    <t>23:40:22</t>
  </si>
  <si>
    <t>FAA.552-114</t>
  </si>
  <si>
    <t>純正源石×130</t>
  </si>
  <si>
    <t>akfhfsn</t>
  </si>
  <si>
    <t>945242971893265</t>
  </si>
  <si>
    <t>2026/04/09</t>
  </si>
  <si>
    <t>02:05:19</t>
  </si>
  <si>
    <t>FAA.994-883</t>
  </si>
  <si>
    <t>ertmixg</t>
  </si>
  <si>
    <t>557129701096691</t>
  </si>
  <si>
    <t>05:55:55</t>
  </si>
  <si>
    <t>FAA.446-221</t>
  </si>
  <si>
    <t>iwkmoj</t>
  </si>
  <si>
    <t>812622006104352</t>
  </si>
  <si>
    <t>08:10:02</t>
  </si>
  <si>
    <t>FAA.001-004</t>
  </si>
  <si>
    <t>ldsrfyb</t>
  </si>
  <si>
    <t>673380576275626</t>
  </si>
  <si>
    <t>11:45:33</t>
  </si>
  <si>
    <t>FAA.885-772</t>
  </si>
  <si>
    <t>プレミアムミッションパス</t>
  </si>
  <si>
    <t>vkoggg</t>
  </si>
  <si>
    <t>926159477394914</t>
  </si>
  <si>
    <t>14:20:11</t>
  </si>
  <si>
    <t>FAA.223-115</t>
  </si>
  <si>
    <t>vlwskzkl</t>
  </si>
  <si>
    <t>17:55:44</t>
  </si>
  <si>
    <t>tagxriyz</t>
  </si>
  <si>
    <t>685358313198857</t>
  </si>
  <si>
    <t>19:15:09</t>
  </si>
  <si>
    <t>FAA.112-443</t>
  </si>
  <si>
    <t>pczwps</t>
  </si>
  <si>
    <t>099222338089335</t>
  </si>
  <si>
    <t>FAA.559-002</t>
  </si>
  <si>
    <t>空月の祝福</t>
  </si>
  <si>
    <t>nouuaw</t>
  </si>
  <si>
    <t>526526385513351</t>
  </si>
  <si>
    <t>22:05:19</t>
  </si>
  <si>
    <t>FAA.991-779</t>
  </si>
  <si>
    <t>svwmkz</t>
  </si>
  <si>
    <t>23:33:55</t>
  </si>
  <si>
    <t>FAA.444-111</t>
  </si>
  <si>
    <t>pbsyaqln</t>
  </si>
  <si>
    <t>153656054548428</t>
  </si>
  <si>
    <t>2026/04/10</t>
  </si>
  <si>
    <t>FAA.007-336</t>
  </si>
  <si>
    <t>xcifubnh</t>
  </si>
  <si>
    <t>05:55:01</t>
  </si>
  <si>
    <t>FAA.889-884</t>
  </si>
  <si>
    <t>創世結晶×1980</t>
  </si>
  <si>
    <t>ainzdsdw</t>
  </si>
  <si>
    <t>765148482542805</t>
  </si>
  <si>
    <t>FAA.226-221</t>
  </si>
  <si>
    <t>xfgzmixee</t>
  </si>
  <si>
    <t>083851431901958</t>
  </si>
  <si>
    <t>FAA.661-003</t>
  </si>
  <si>
    <t>luxjc</t>
  </si>
  <si>
    <t>853959462465798</t>
  </si>
  <si>
    <t>FAA.114-774</t>
  </si>
  <si>
    <t>xhhktb</t>
  </si>
  <si>
    <t>964345307017028</t>
  </si>
  <si>
    <t>FAA.553-992</t>
  </si>
  <si>
    <t>flwpazbloh</t>
  </si>
  <si>
    <t>389669053867404</t>
  </si>
  <si>
    <t>FAA.997-331</t>
  </si>
  <si>
    <t>kpxcabsul</t>
  </si>
  <si>
    <t>208381390855184</t>
  </si>
  <si>
    <t>FAA.446-005</t>
  </si>
  <si>
    <t>kfkwj</t>
  </si>
  <si>
    <t>717721264359504</t>
  </si>
  <si>
    <t>FAA.001-776</t>
  </si>
  <si>
    <t>ufqpkao</t>
  </si>
  <si>
    <t>FAA.882-113</t>
  </si>
  <si>
    <t>tqokmif</t>
  </si>
  <si>
    <t>322943613532332</t>
  </si>
  <si>
    <t>2026/04/11</t>
  </si>
  <si>
    <t>FAA.227-889</t>
  </si>
  <si>
    <t>uxhhha</t>
  </si>
  <si>
    <t>nescoehg</t>
  </si>
  <si>
    <t>FAA.119-001</t>
  </si>
  <si>
    <t>ozfaoc</t>
  </si>
  <si>
    <t>wylejmgcns</t>
  </si>
  <si>
    <t>FAA.994-114</t>
  </si>
  <si>
    <t>ihyeu</t>
  </si>
  <si>
    <t>FAA.446-883</t>
  </si>
  <si>
    <t>クリスタル 3000個</t>
  </si>
  <si>
    <t>prktqxz</t>
  </si>
  <si>
    <t>462040117155426</t>
  </si>
  <si>
    <t>FAA.001-221</t>
  </si>
  <si>
    <t>zudgbd</t>
  </si>
  <si>
    <t>769697208780473</t>
  </si>
  <si>
    <t>FAA.885-004</t>
  </si>
  <si>
    <t>pusjxs</t>
  </si>
  <si>
    <t>FAA.223-772</t>
  </si>
  <si>
    <t>obocddmzxh</t>
  </si>
  <si>
    <t>443019919104887</t>
  </si>
  <si>
    <t>FAA.667-115</t>
  </si>
  <si>
    <t>501013953701209</t>
  </si>
  <si>
    <t>2026/04/12</t>
  </si>
  <si>
    <t>FAA.112-881</t>
  </si>
  <si>
    <t>991744337394875</t>
  </si>
  <si>
    <t>FAA.559-443</t>
  </si>
  <si>
    <t>819361759977280</t>
  </si>
  <si>
    <t>FAA.991-002</t>
  </si>
  <si>
    <t>961125951760765</t>
  </si>
  <si>
    <t>FAA.444-779</t>
  </si>
  <si>
    <t>FAA.007-111</t>
  </si>
  <si>
    <t>FAA.889-336</t>
  </si>
  <si>
    <t>834394620768613</t>
  </si>
  <si>
    <t>FAA.226-884</t>
  </si>
  <si>
    <t>FAA.661-221</t>
  </si>
  <si>
    <t>FAA.114-003</t>
  </si>
  <si>
    <t>FAA.553-774</t>
  </si>
  <si>
    <t>476624871983780</t>
  </si>
  <si>
    <t>2026/04/13</t>
  </si>
  <si>
    <t>FAA.997-992</t>
  </si>
  <si>
    <t>FAA.446-331</t>
  </si>
  <si>
    <t>FAA.001-005</t>
  </si>
  <si>
    <t>029296688871096</t>
  </si>
  <si>
    <t>FAA.882-776</t>
  </si>
  <si>
    <t>687615918068227</t>
  </si>
  <si>
    <t>FAA.227-113</t>
  </si>
  <si>
    <t>FAA.664-889</t>
  </si>
  <si>
    <t>ルビー 800個</t>
  </si>
  <si>
    <t>6800</t>
  </si>
  <si>
    <t>FAA.119-442</t>
  </si>
  <si>
    <t>FAA.552-001</t>
  </si>
  <si>
    <t>FAA.994-775</t>
  </si>
  <si>
    <t>FAA.446-114</t>
  </si>
  <si>
    <t>2026/04/14</t>
  </si>
  <si>
    <t>FAA.001-883</t>
  </si>
  <si>
    <t>FAA.223-004</t>
  </si>
  <si>
    <t>FAA.112-115</t>
  </si>
  <si>
    <t>FAA.559-881</t>
  </si>
  <si>
    <t>FAA.991-443</t>
  </si>
  <si>
    <t>FAA.444-002</t>
  </si>
  <si>
    <t>FAA.007-779</t>
  </si>
  <si>
    <t>FAA.889-111</t>
  </si>
  <si>
    <t>2026/04/15</t>
  </si>
  <si>
    <t>FAA.226-336</t>
  </si>
  <si>
    <t>FAA.114-221</t>
  </si>
  <si>
    <t>FAA.553-003</t>
  </si>
  <si>
    <t>FAA.997-774</t>
  </si>
  <si>
    <t>FAA.446-992</t>
  </si>
  <si>
    <t>FAA.001-331</t>
  </si>
  <si>
    <t>FAA.882-005</t>
  </si>
  <si>
    <t>FAA.227-776</t>
  </si>
  <si>
    <t>FAA.664-113</t>
  </si>
  <si>
    <t>2026/04/16</t>
  </si>
  <si>
    <t>FAA.119-889</t>
  </si>
  <si>
    <t>FAA.552-442</t>
  </si>
  <si>
    <t>FAA.994-001</t>
  </si>
  <si>
    <t>FAA.446-775</t>
  </si>
  <si>
    <t>FAA.001-114</t>
  </si>
  <si>
    <t>FAA.885-883</t>
  </si>
  <si>
    <t>FAA.223-221</t>
  </si>
  <si>
    <t>FAA.667-004</t>
  </si>
  <si>
    <t>FAA.112-772</t>
  </si>
  <si>
    <t>FAA.559-115</t>
  </si>
  <si>
    <t>2026/04/17</t>
  </si>
  <si>
    <t>FAA.991-881</t>
  </si>
  <si>
    <t>FAA.444-443</t>
  </si>
  <si>
    <t>FAA.007-002</t>
  </si>
  <si>
    <t>FAA.889-779</t>
  </si>
  <si>
    <t>FAA.226-111</t>
  </si>
  <si>
    <t>FAA.661-336</t>
  </si>
  <si>
    <t>FAA.114-884</t>
  </si>
  <si>
    <t>FAA.997-003</t>
  </si>
  <si>
    <t>2026/04/18</t>
  </si>
  <si>
    <t>FAA.001-992</t>
  </si>
  <si>
    <t>FAA.227-005</t>
  </si>
  <si>
    <t>FAA.664-776</t>
  </si>
  <si>
    <t>FAA.119-113</t>
  </si>
  <si>
    <t>FAA.552-889</t>
  </si>
  <si>
    <t>FAA.994-442</t>
  </si>
  <si>
    <t>FAA.446-001</t>
  </si>
  <si>
    <t>FAA.001-775</t>
  </si>
  <si>
    <t>FAA.885-114</t>
  </si>
  <si>
    <t>2026/04/19</t>
  </si>
  <si>
    <t>FAA.223-883</t>
  </si>
  <si>
    <t>FAA.667-221</t>
  </si>
  <si>
    <t>FAA.112-004</t>
  </si>
  <si>
    <t>FAA.559-772</t>
  </si>
  <si>
    <t>FAA.991-115</t>
  </si>
  <si>
    <t>FAA.444-881</t>
  </si>
  <si>
    <t>FAA.007-443</t>
  </si>
  <si>
    <t>FAA.889-002</t>
  </si>
  <si>
    <t>FAA.226-779</t>
  </si>
  <si>
    <t>2026/04/20</t>
  </si>
  <si>
    <t>FAA.114-336</t>
  </si>
  <si>
    <t>FAA.553-884</t>
  </si>
  <si>
    <t>FAA.997-221</t>
  </si>
  <si>
    <t>FAA.446-003</t>
  </si>
  <si>
    <t>FAA.001-774</t>
  </si>
  <si>
    <t>聖晶石 25個</t>
  </si>
  <si>
    <t>FAA.882-992</t>
  </si>
  <si>
    <t>FAA.227-331</t>
  </si>
  <si>
    <t>FAA.664-005</t>
  </si>
  <si>
    <t>FAA.119-776</t>
  </si>
  <si>
    <t>FAA.552-113</t>
  </si>
  <si>
    <t>2026/04/21</t>
  </si>
  <si>
    <t>FAA.994-889</t>
  </si>
  <si>
    <t>FAA.446-442</t>
  </si>
  <si>
    <t>列車補給標章</t>
  </si>
  <si>
    <t>FAA.001-001</t>
  </si>
  <si>
    <t>FAA.885-775</t>
  </si>
  <si>
    <t>FAA.223-114</t>
  </si>
  <si>
    <t>FAA.667-883</t>
  </si>
  <si>
    <t>FAA.112-221</t>
  </si>
  <si>
    <t>FAA.559-004</t>
  </si>
  <si>
    <t>FAA.991-772</t>
  </si>
  <si>
    <t>FAA.444-115</t>
  </si>
  <si>
    <t>2026/04/22</t>
  </si>
  <si>
    <t>FAA.007-881</t>
  </si>
  <si>
    <t>FAA.889-443</t>
  </si>
  <si>
    <t>FAA.226-002</t>
  </si>
  <si>
    <t>FAA.661-779</t>
  </si>
  <si>
    <t>FAA.114-111</t>
  </si>
  <si>
    <t>FAA.553-336</t>
  </si>
  <si>
    <t>FAA.997-884</t>
  </si>
  <si>
    <t>FAA.001-003</t>
  </si>
  <si>
    <t>FAA.882-774</t>
  </si>
  <si>
    <t>2026/04/23</t>
  </si>
  <si>
    <t>FAA.664-331</t>
  </si>
  <si>
    <t>FAA.552-776</t>
  </si>
  <si>
    <t>FAA.994-113</t>
  </si>
  <si>
    <t>FAA.446-889</t>
  </si>
  <si>
    <t>FAA.001-442</t>
  </si>
  <si>
    <t>FAA.885-001</t>
  </si>
  <si>
    <t>FAA.223-775</t>
  </si>
  <si>
    <t>FAA.667-114</t>
  </si>
  <si>
    <t>2026/04/24</t>
  </si>
  <si>
    <t>FAA.559-221</t>
  </si>
  <si>
    <t>FAA.991-004</t>
  </si>
  <si>
    <t>FAA.444-772</t>
  </si>
  <si>
    <t>FAA.007-115</t>
  </si>
  <si>
    <t>FAA.889-881</t>
  </si>
  <si>
    <t>FAA.226-443</t>
  </si>
  <si>
    <t>FAA.661-002</t>
  </si>
  <si>
    <t>FAA.114-779</t>
  </si>
  <si>
    <t>FAA.553-111</t>
  </si>
  <si>
    <t>2026/04/25</t>
  </si>
  <si>
    <t>FAA.997-336</t>
  </si>
  <si>
    <t>FAA.446-884</t>
  </si>
  <si>
    <t>FAA.882-003</t>
  </si>
  <si>
    <t>FAA.227-774</t>
  </si>
  <si>
    <t>FAA.664-992</t>
  </si>
  <si>
    <t>FAA.119-331</t>
  </si>
  <si>
    <t>FAA.552-005</t>
  </si>
  <si>
    <t>FAA.994-776</t>
  </si>
  <si>
    <t>FAC.446-113</t>
  </si>
  <si>
    <t>2026/04/26</t>
  </si>
  <si>
    <t>FAA.001-889</t>
  </si>
  <si>
    <t>FAA.885-442</t>
  </si>
  <si>
    <t>FAA.223-001</t>
  </si>
  <si>
    <t>FAA.667-775</t>
  </si>
  <si>
    <t>FAA.112-114</t>
  </si>
  <si>
    <t>FAA.559-883</t>
  </si>
  <si>
    <t>FAA.444-004</t>
  </si>
  <si>
    <t>FAA.889-115</t>
  </si>
  <si>
    <t>2026/04/27</t>
  </si>
  <si>
    <t>FAA.226-881</t>
  </si>
  <si>
    <t>FAA.661-443</t>
  </si>
  <si>
    <t>FAA.553-779</t>
  </si>
  <si>
    <t>FAA.997-111</t>
  </si>
  <si>
    <t>FAA.446-336</t>
  </si>
  <si>
    <t>FAA.001-884</t>
  </si>
  <si>
    <t>FAA.882-221</t>
  </si>
  <si>
    <t>FAA.227-003</t>
  </si>
  <si>
    <t>FAA.664-774</t>
  </si>
  <si>
    <t>2026/04/28</t>
  </si>
  <si>
    <t>FAA.119-992</t>
  </si>
  <si>
    <t>FAA.552-331</t>
  </si>
  <si>
    <t>FAA.994-005</t>
  </si>
  <si>
    <t>FAA.446-776</t>
  </si>
  <si>
    <t>FAA.001-113</t>
  </si>
  <si>
    <t>FAA.885-889</t>
  </si>
  <si>
    <t>FAA.223-442</t>
  </si>
  <si>
    <t>20:13:30</t>
  </si>
  <si>
    <t>FAC.325-127</t>
  </si>
  <si>
    <t>20:15:30</t>
  </si>
  <si>
    <t>FAA.559-114</t>
  </si>
  <si>
    <t>に〇んこ大戦争</t>
  </si>
  <si>
    <t>3+</t>
  </si>
  <si>
    <t>ネコカン</t>
  </si>
  <si>
    <t>FAA.667-001</t>
  </si>
  <si>
    <t>FAA.112-775</t>
  </si>
  <si>
    <t>2026/04/29</t>
  </si>
  <si>
    <t>FAA.991-883</t>
  </si>
  <si>
    <t>FAA.444-221</t>
  </si>
  <si>
    <t>FAA.889-772</t>
  </si>
  <si>
    <t>FAA.226-115</t>
  </si>
  <si>
    <t>FAA.661-881</t>
  </si>
  <si>
    <t>FAA.114-443</t>
  </si>
  <si>
    <t>FAA.553-002</t>
  </si>
  <si>
    <t>FAA.997-779</t>
  </si>
  <si>
    <t>FAA.446-111</t>
  </si>
  <si>
    <t>353147221094835</t>
  </si>
  <si>
    <t>SK Telecom</t>
  </si>
  <si>
    <t>FAA.001-336</t>
  </si>
  <si>
    <t>リネージュ〇</t>
  </si>
  <si>
    <t>16+</t>
  </si>
  <si>
    <t>120円パッケージ</t>
  </si>
  <si>
    <t>Korea(Seoul)</t>
  </si>
  <si>
    <t>117.111.35.78</t>
  </si>
  <si>
    <t>ATOスコア高</t>
  </si>
  <si>
    <t>Galaxy S23 Ultra</t>
  </si>
  <si>
    <t>VPN</t>
  </si>
  <si>
    <t>FAA.119-774</t>
  </si>
  <si>
    <t>15:16:02</t>
  </si>
  <si>
    <t>FAA.227-221</t>
  </si>
  <si>
    <t>4,000 非刻印ダイヤ</t>
  </si>
  <si>
    <t>28300</t>
  </si>
  <si>
    <t>117.111.90.23</t>
  </si>
  <si>
    <t>Galaxy S25 Ultra</t>
  </si>
  <si>
    <t>15:16:04</t>
  </si>
  <si>
    <t>FAA.026-574</t>
  </si>
  <si>
    <t>15:16:08</t>
  </si>
  <si>
    <t>FAA.868-825</t>
  </si>
  <si>
    <t>Galaxy S24 Ultra</t>
  </si>
  <si>
    <t>15:16:12</t>
  </si>
  <si>
    <t>FAA.553-295</t>
  </si>
  <si>
    <t>15:17:02</t>
  </si>
  <si>
    <t>FAP.838-514</t>
  </si>
  <si>
    <t>〇oogle Store</t>
  </si>
  <si>
    <t>〇oogle Pixel Pro 256GB(SIMフリー)</t>
  </si>
  <si>
    <t>267000</t>
  </si>
  <si>
    <t>Galaxy S26 Ultra</t>
  </si>
  <si>
    <t>15:55:55</t>
  </si>
  <si>
    <t>FAA.882-884</t>
  </si>
  <si>
    <t>20:15:50</t>
  </si>
  <si>
    <t>FAA.664-003</t>
  </si>
  <si>
    <t>超限定セール（松）</t>
  </si>
  <si>
    <t>20:16:32</t>
  </si>
  <si>
    <t>FAA.552-992</t>
  </si>
  <si>
    <t>ネコカン 3,900個</t>
  </si>
  <si>
    <t>20:16:45</t>
  </si>
  <si>
    <t>FAA.994-331</t>
  </si>
  <si>
    <t>スニャイパー</t>
  </si>
  <si>
    <t>20:17:55</t>
  </si>
  <si>
    <t>スピードアップ</t>
  </si>
  <si>
    <t>pending</t>
  </si>
  <si>
    <t>FAA.885-113</t>
  </si>
  <si>
    <t>平均単価</t>
    <phoneticPr fontId="1"/>
  </si>
  <si>
    <t>Wi-Fi / Mobile / VPN</t>
    <phoneticPr fontId="1"/>
  </si>
  <si>
    <t>Mobile</t>
    <phoneticPr fontId="1"/>
  </si>
  <si>
    <t>ご近所生トーク｜近所で出会う〇達探し・チャットアプリ</t>
    <phoneticPr fontId="1"/>
  </si>
  <si>
    <t>18+</t>
    <phoneticPr fontId="1"/>
  </si>
  <si>
    <t>1,100コイン</t>
    <phoneticPr fontId="1"/>
  </si>
  <si>
    <t>半熟英雄 ああ〇世界よ半熟なれ…!!</t>
    <phoneticPr fontId="1"/>
  </si>
  <si>
    <t>3+</t>
    <phoneticPr fontId="1"/>
  </si>
  <si>
    <t>追加コンテンツ（フルパック）</t>
    <phoneticPr fontId="1"/>
  </si>
  <si>
    <t>あすけんダイエッ〇アプリ カロリー計算や食事記録でダイエット</t>
    <phoneticPr fontId="1"/>
  </si>
  <si>
    <t>12+</t>
    <phoneticPr fontId="1"/>
  </si>
  <si>
    <t>プレミアムサービス 1年プラン</t>
    <phoneticPr fontId="1"/>
  </si>
  <si>
    <t>lqanykthq</t>
    <phoneticPr fontId="1"/>
  </si>
  <si>
    <t xml:space="preserve">Wi-Fi </t>
    <phoneticPr fontId="1"/>
  </si>
  <si>
    <t>オーブ 33個</t>
    <phoneticPr fontId="1"/>
  </si>
  <si>
    <t>7+</t>
    <phoneticPr fontId="1"/>
  </si>
  <si>
    <t>tenki.〇p 天気予報・雨雲レーダー/地震速報</t>
    <phoneticPr fontId="1"/>
  </si>
  <si>
    <t>Japan(京都府南丹市)</t>
    <phoneticPr fontId="1"/>
  </si>
  <si>
    <t>7+</t>
    <phoneticPr fontId="1"/>
  </si>
  <si>
    <t>Google Pixel 10a</t>
  </si>
  <si>
    <t>プロジェクトセカ〇</t>
    <phoneticPr fontId="1"/>
  </si>
  <si>
    <t>3+</t>
    <phoneticPr fontId="1"/>
  </si>
  <si>
    <t>Fate/Grand 〇rder</t>
    <phoneticPr fontId="1"/>
  </si>
  <si>
    <t>パズル〇ドラゴンズ</t>
    <phoneticPr fontId="1"/>
  </si>
  <si>
    <t>Pokémon G〇</t>
    <phoneticPr fontId="1"/>
  </si>
  <si>
    <t>ウマ娘 プリティ〇ダービー</t>
    <phoneticPr fontId="1"/>
  </si>
  <si>
    <t>勝利の女神〇NIKKE</t>
    <phoneticPr fontId="1"/>
  </si>
  <si>
    <t>12+</t>
    <phoneticPr fontId="1"/>
  </si>
  <si>
    <t>Mobile</t>
    <phoneticPr fontId="1"/>
  </si>
  <si>
    <t>ディズニ〇ツムツム</t>
    <phoneticPr fontId="1"/>
  </si>
  <si>
    <t>マリッシ〇(marrish) 婚活・再婚マッチングアプリ</t>
    <phoneticPr fontId="1"/>
  </si>
  <si>
    <t>300 ポイント</t>
    <phoneticPr fontId="1"/>
  </si>
  <si>
    <t>10 ポイント</t>
    <phoneticPr fontId="1"/>
  </si>
  <si>
    <t>30 ポイント</t>
    <phoneticPr fontId="1"/>
  </si>
  <si>
    <t>18+</t>
    <phoneticPr fontId="1"/>
  </si>
  <si>
    <t xml:space="preserve">Wi-Fi </t>
    <phoneticPr fontId="1"/>
  </si>
  <si>
    <t>富山県富山市</t>
    <rPh sb="2" eb="3">
      <t>ケン</t>
    </rPh>
    <phoneticPr fontId="1"/>
  </si>
  <si>
    <t>荒野行〇</t>
    <phoneticPr fontId="1"/>
  </si>
  <si>
    <t>Wi-Fi</t>
    <phoneticPr fontId="1"/>
  </si>
  <si>
    <t>Identity V (第〇人格)</t>
    <phoneticPr fontId="1"/>
  </si>
  <si>
    <t>FAC.007-772</t>
    <phoneticPr fontId="1"/>
  </si>
  <si>
    <t>OPPO Reno14</t>
    <phoneticPr fontId="1"/>
  </si>
  <si>
    <t>FAB.223-991</t>
    <phoneticPr fontId="1"/>
  </si>
  <si>
    <t>FAB.667-772</t>
    <phoneticPr fontId="1"/>
  </si>
  <si>
    <t>FAB.446-774</t>
    <phoneticPr fontId="1"/>
  </si>
  <si>
    <t>FAB.119-005</t>
    <phoneticPr fontId="1"/>
  </si>
  <si>
    <t>無職転生 ～異世界行ったら本気だす～ 2</t>
    <phoneticPr fontId="1"/>
  </si>
  <si>
    <t>無職転生 ～異世界行ったら本気だす～ 1</t>
    <phoneticPr fontId="1"/>
  </si>
  <si>
    <t>無職転生 ～異世界行ったら本気だす～ 3</t>
    <phoneticPr fontId="1"/>
  </si>
  <si>
    <t>無職転生 ～異世界行ったら本気だす～ 4</t>
    <phoneticPr fontId="1"/>
  </si>
  <si>
    <t>みんな〇銀行</t>
    <rPh sb="4" eb="6">
      <t>ギンコウ</t>
    </rPh>
    <phoneticPr fontId="1"/>
  </si>
  <si>
    <t>プレミアムサービス</t>
    <phoneticPr fontId="1"/>
  </si>
  <si>
    <t>ジュエル 6200個</t>
    <phoneticPr fontId="1"/>
  </si>
  <si>
    <t>ヘブンバ〇ンズレッド</t>
    <phoneticPr fontId="1"/>
  </si>
  <si>
    <t>クォーツ 10,000個</t>
    <phoneticPr fontId="1"/>
  </si>
  <si>
    <t>クォーツ  4,750個</t>
    <phoneticPr fontId="1"/>
  </si>
  <si>
    <t>クリスタルG</t>
    <phoneticPr fontId="1"/>
  </si>
  <si>
    <t>クリスタルF</t>
    <phoneticPr fontId="1"/>
  </si>
  <si>
    <t>Pixel 8</t>
    <phoneticPr fontId="1"/>
  </si>
  <si>
    <t>radik〇</t>
    <phoneticPr fontId="1"/>
  </si>
  <si>
    <t>ラジコプレミアム タイムフリー30プラン</t>
    <phoneticPr fontId="1"/>
  </si>
  <si>
    <t>ねこあつめ</t>
    <phoneticPr fontId="1"/>
  </si>
  <si>
    <t>金にぼし 400個</t>
    <phoneticPr fontId="1"/>
  </si>
  <si>
    <t>pjbuq</t>
    <phoneticPr fontId="1"/>
  </si>
  <si>
    <t>ウマ娘 プリティ〇ダービー</t>
    <phoneticPr fontId="1"/>
  </si>
  <si>
    <t>3+</t>
    <phoneticPr fontId="1"/>
  </si>
  <si>
    <t>プロジェクトセカ〇</t>
    <phoneticPr fontId="1"/>
  </si>
  <si>
    <t>Identity V (第〇人格)</t>
    <phoneticPr fontId="1"/>
  </si>
  <si>
    <t>Wi-Fi</t>
    <phoneticPr fontId="1"/>
  </si>
  <si>
    <t>勝利の女神〇NIKKE</t>
    <phoneticPr fontId="1"/>
  </si>
  <si>
    <t>12+</t>
    <phoneticPr fontId="1"/>
  </si>
  <si>
    <t>モンスタ〇ストライク</t>
    <phoneticPr fontId="1"/>
  </si>
  <si>
    <t>ギフトカード残高</t>
    <phoneticPr fontId="1"/>
  </si>
  <si>
    <t>qzvcc</t>
    <phoneticPr fontId="1"/>
  </si>
  <si>
    <t>崩壊〇スターレイル</t>
    <phoneticPr fontId="1"/>
  </si>
  <si>
    <t>Fate/Grand 〇rder</t>
    <phoneticPr fontId="1"/>
  </si>
  <si>
    <t>聖晶石 1個</t>
    <phoneticPr fontId="1"/>
  </si>
  <si>
    <t>ディズニ〇ツムツム</t>
    <phoneticPr fontId="1"/>
  </si>
  <si>
    <t>ア〇クナイツ</t>
    <phoneticPr fontId="1"/>
  </si>
  <si>
    <t>Pixel 10a</t>
    <phoneticPr fontId="1"/>
  </si>
  <si>
    <t>Mobile</t>
    <phoneticPr fontId="1"/>
  </si>
  <si>
    <t>Japan(岩手県盛岡市)</t>
    <rPh sb="6" eb="9">
      <t>イワテケン</t>
    </rPh>
    <rPh sb="9" eb="12">
      <t>モリオカシ</t>
    </rPh>
    <phoneticPr fontId="1"/>
  </si>
  <si>
    <t>荒野行〇</t>
    <phoneticPr fontId="1"/>
  </si>
  <si>
    <t>16+</t>
    <phoneticPr fontId="1"/>
  </si>
  <si>
    <t>OPPO Find X9</t>
  </si>
  <si>
    <t>FAY.447-229</t>
    <phoneticPr fontId="1"/>
  </si>
  <si>
    <t>FAY.661-111</t>
    <phoneticPr fontId="1"/>
  </si>
  <si>
    <t>FAY.007-004</t>
    <phoneticPr fontId="1"/>
  </si>
  <si>
    <t>Y〇utube</t>
    <phoneticPr fontId="1"/>
  </si>
  <si>
    <t>Super Thanks</t>
    <phoneticPr fontId="1"/>
  </si>
  <si>
    <t>キャリア決済</t>
    <phoneticPr fontId="1"/>
  </si>
  <si>
    <t>パズル〇ドラゴンズ</t>
    <phoneticPr fontId="1"/>
  </si>
  <si>
    <t>7+</t>
    <phoneticPr fontId="1"/>
  </si>
  <si>
    <t>魔法石 6個</t>
    <phoneticPr fontId="1"/>
  </si>
  <si>
    <t>魔法石 12個</t>
    <phoneticPr fontId="1"/>
  </si>
  <si>
    <t>LINE MUSI〇</t>
    <phoneticPr fontId="1"/>
  </si>
  <si>
    <t>一般プラン</t>
    <phoneticPr fontId="1"/>
  </si>
  <si>
    <t>Pixel 9a</t>
    <phoneticPr fontId="1"/>
  </si>
  <si>
    <t>タップル</t>
    <phoneticPr fontId="1"/>
  </si>
  <si>
    <t>18+</t>
    <phoneticPr fontId="1"/>
  </si>
  <si>
    <t>スタンダードプラン 1カ月 男性</t>
    <rPh sb="12" eb="13">
      <t>ゲツ</t>
    </rPh>
    <rPh sb="14" eb="16">
      <t>ダンセイ</t>
    </rPh>
    <phoneticPr fontId="1"/>
  </si>
  <si>
    <t>魔法石 1個</t>
    <phoneticPr fontId="1"/>
  </si>
  <si>
    <t>Galaxy S26</t>
    <phoneticPr fontId="1"/>
  </si>
  <si>
    <t>渡辺</t>
    <phoneticPr fontId="1"/>
  </si>
  <si>
    <t>FAB.051-314</t>
    <phoneticPr fontId="1"/>
  </si>
  <si>
    <t>FAB.661-884</t>
    <phoneticPr fontId="1"/>
  </si>
  <si>
    <t>FAB.112-883</t>
    <phoneticPr fontId="1"/>
  </si>
  <si>
    <t>青天</t>
    <phoneticPr fontId="1"/>
  </si>
  <si>
    <t>道化師の蝶</t>
    <phoneticPr fontId="1"/>
  </si>
  <si>
    <t>海の見える理髪店</t>
    <phoneticPr fontId="1"/>
  </si>
  <si>
    <t>ダービ〇インパクト</t>
    <phoneticPr fontId="1"/>
  </si>
  <si>
    <t>Dメダル 700枚</t>
    <phoneticPr fontId="1"/>
  </si>
  <si>
    <t>AQUOS wish</t>
    <phoneticPr fontId="1"/>
  </si>
  <si>
    <t>クレジットカード(JCB)</t>
    <phoneticPr fontId="1"/>
  </si>
  <si>
    <t>テキサス〇ホールデム</t>
    <phoneticPr fontId="1"/>
  </si>
  <si>
    <t>Mega Hit Safe Package</t>
    <phoneticPr fontId="1"/>
  </si>
  <si>
    <t>Special Offer 100 / Chips Package</t>
    <phoneticPr fontId="1"/>
  </si>
  <si>
    <t>Special Offer 20</t>
    <phoneticPr fontId="1"/>
  </si>
  <si>
    <t>AQUOS sense9</t>
    <phoneticPr fontId="1"/>
  </si>
  <si>
    <t>クレジットカード(American Express)</t>
    <phoneticPr fontId="1"/>
  </si>
  <si>
    <t>プロ野球スピリッツ〇</t>
    <phoneticPr fontId="1"/>
  </si>
  <si>
    <t>Sランク確定スカウト</t>
    <phoneticPr fontId="1"/>
  </si>
  <si>
    <t>金券 85個</t>
    <phoneticPr fontId="1"/>
  </si>
  <si>
    <t>Japan(福岡県福岡市)</t>
    <rPh sb="9" eb="12">
      <t>フクオカシ</t>
    </rPh>
    <phoneticPr fontId="1"/>
  </si>
  <si>
    <t>60.64.4.19</t>
    <phoneticPr fontId="1"/>
  </si>
  <si>
    <t>ジュエル 50個</t>
    <phoneticPr fontId="1"/>
  </si>
  <si>
    <t>82 エナジー （※期間限定）</t>
    <phoneticPr fontId="1"/>
  </si>
  <si>
    <t>25 エナジー</t>
    <phoneticPr fontId="1"/>
  </si>
  <si>
    <t>Pixel 10</t>
    <phoneticPr fontId="1"/>
  </si>
  <si>
    <t>FAY.554-332</t>
    <phoneticPr fontId="1"/>
  </si>
  <si>
    <t>FAY.885-221</t>
    <phoneticPr fontId="1"/>
  </si>
  <si>
    <t>FAY.553-221</t>
    <phoneticPr fontId="1"/>
  </si>
  <si>
    <t>FAY.227-992</t>
    <phoneticPr fontId="1"/>
  </si>
  <si>
    <t>FAY.991-221</t>
    <phoneticPr fontId="1"/>
  </si>
  <si>
    <t>クレジットカード(Mastercard)</t>
    <phoneticPr fontId="1"/>
  </si>
  <si>
    <t>原〇</t>
    <phoneticPr fontId="1"/>
  </si>
  <si>
    <t>創世結晶 × 300個</t>
    <phoneticPr fontId="1"/>
  </si>
  <si>
    <t>創世結晶 × 60個</t>
    <phoneticPr fontId="1"/>
  </si>
  <si>
    <t>原〇</t>
    <rPh sb="0" eb="1">
      <t>ハラ</t>
    </rPh>
    <phoneticPr fontId="1"/>
  </si>
  <si>
    <t>創世結晶 × 6,480個</t>
    <phoneticPr fontId="1"/>
  </si>
  <si>
    <t>創世結晶 × 1,980個</t>
    <phoneticPr fontId="1"/>
  </si>
  <si>
    <t>Prime Vide〇</t>
    <phoneticPr fontId="1"/>
  </si>
  <si>
    <t>1か月無料体験</t>
    <rPh sb="2" eb="3">
      <t>ゲツ</t>
    </rPh>
    <rPh sb="3" eb="5">
      <t>ムリョウ</t>
    </rPh>
    <rPh sb="5" eb="7">
      <t>タイケン</t>
    </rPh>
    <phoneticPr fontId="1"/>
  </si>
  <si>
    <t>★3引換券付きジュエル 5000個</t>
    <phoneticPr fontId="1"/>
  </si>
  <si>
    <t>ジュエル 2,500個</t>
    <phoneticPr fontId="1"/>
  </si>
  <si>
    <t>ジュエル 350個</t>
    <phoneticPr fontId="1"/>
  </si>
  <si>
    <t>ジュエル 1,500個</t>
    <phoneticPr fontId="1"/>
  </si>
  <si>
    <t>Xiaomi 15T Pro</t>
    <phoneticPr fontId="1"/>
  </si>
  <si>
    <t>Y〇uTube Premium</t>
    <phoneticPr fontId="1"/>
  </si>
  <si>
    <t>FAY.664-442</t>
    <phoneticPr fontId="1"/>
  </si>
  <si>
    <t>CapCu〇</t>
    <phoneticPr fontId="1"/>
  </si>
  <si>
    <t>CapCu〇 Pro 月次プラン</t>
    <phoneticPr fontId="1"/>
  </si>
  <si>
    <t>昭和〇年ナイスショット</t>
    <rPh sb="3" eb="4">
      <t>ネン</t>
    </rPh>
    <phoneticPr fontId="1"/>
  </si>
  <si>
    <t>ポイントまとめ買い（お試し）</t>
    <phoneticPr fontId="1"/>
  </si>
  <si>
    <t>ポイントまとめ買い</t>
    <phoneticPr fontId="1"/>
  </si>
  <si>
    <t>FAY.667-881</t>
    <phoneticPr fontId="1"/>
  </si>
  <si>
    <t>FAY.552-775</t>
    <phoneticPr fontId="1"/>
  </si>
  <si>
    <t>トラックカーナビ by ナビタイ〇</t>
    <phoneticPr fontId="1"/>
  </si>
  <si>
    <t>プレミアムプラスコース(年額)</t>
    <phoneticPr fontId="1"/>
  </si>
  <si>
    <t>Japan(大分県日田市)</t>
    <rPh sb="6" eb="12">
      <t>オオイタケンヒタシ</t>
    </rPh>
    <phoneticPr fontId="1"/>
  </si>
  <si>
    <t>スタディサプリ</t>
    <phoneticPr fontId="1"/>
  </si>
  <si>
    <t>ベーシックコース（月額）</t>
    <phoneticPr fontId="1"/>
  </si>
  <si>
    <t>単語帳メーカー</t>
    <phoneticPr fontId="1"/>
  </si>
  <si>
    <t>広告の非表示（削除）</t>
    <phoneticPr fontId="1"/>
  </si>
  <si>
    <t xml:space="preserve"> Xperia 10 VII</t>
    <phoneticPr fontId="1"/>
  </si>
  <si>
    <t>往日の夢花 × 300個</t>
    <phoneticPr fontId="1"/>
  </si>
  <si>
    <t>Japan(埼玉県春日部市)</t>
    <phoneticPr fontId="1"/>
  </si>
  <si>
    <t>往日の夢花 × 980個</t>
    <phoneticPr fontId="1"/>
  </si>
  <si>
    <t>往日の夢花 × 60個</t>
    <phoneticPr fontId="1"/>
  </si>
  <si>
    <t>オーブ 7個</t>
    <phoneticPr fontId="1"/>
  </si>
  <si>
    <t>オーブ 15個</t>
    <phoneticPr fontId="1"/>
  </si>
  <si>
    <t>Japan(東京都港区)</t>
    <phoneticPr fontId="1"/>
  </si>
  <si>
    <t>117.93.22.38</t>
    <phoneticPr fontId="1"/>
  </si>
  <si>
    <t>創世結晶×1980</t>
    <phoneticPr fontId="1"/>
  </si>
  <si>
    <t>オーブ 1個</t>
    <phoneticPr fontId="1"/>
  </si>
  <si>
    <t>3+</t>
    <phoneticPr fontId="1"/>
  </si>
  <si>
    <t>25 エナジー</t>
    <phoneticPr fontId="1"/>
  </si>
  <si>
    <t>Wi-Fi</t>
    <phoneticPr fontId="1"/>
  </si>
  <si>
    <t>ジュエル 350個</t>
    <phoneticPr fontId="1"/>
  </si>
  <si>
    <t>Identity V (第〇人格)</t>
    <phoneticPr fontId="1"/>
  </si>
  <si>
    <t>80 エコー</t>
    <phoneticPr fontId="1"/>
  </si>
  <si>
    <t>プロ野球スピリッツ〇</t>
    <phoneticPr fontId="1"/>
  </si>
  <si>
    <t>140 エナジー</t>
    <phoneticPr fontId="1"/>
  </si>
  <si>
    <t>ギフトカード残高</t>
    <phoneticPr fontId="1"/>
  </si>
  <si>
    <t>オーブ 15個</t>
    <phoneticPr fontId="1"/>
  </si>
  <si>
    <t>Mobile</t>
    <phoneticPr fontId="1"/>
  </si>
  <si>
    <t>60.64.4.19</t>
    <phoneticPr fontId="1"/>
  </si>
  <si>
    <t>153.150.33.64</t>
    <phoneticPr fontId="1"/>
  </si>
  <si>
    <t>Japan(広島県呉市)</t>
    <rPh sb="9" eb="10">
      <t>クレ</t>
    </rPh>
    <phoneticPr fontId="1"/>
  </si>
  <si>
    <t>勝利の女神〇NIKKE</t>
    <phoneticPr fontId="1"/>
  </si>
  <si>
    <t>ジュエル 1,200個</t>
    <phoneticPr fontId="1"/>
  </si>
  <si>
    <t>ジュエル 110個</t>
    <phoneticPr fontId="1"/>
  </si>
  <si>
    <t>eF〇otball</t>
    <phoneticPr fontId="1"/>
  </si>
  <si>
    <t>130 コイン</t>
    <phoneticPr fontId="1"/>
  </si>
  <si>
    <t>1,040 コイン</t>
    <phoneticPr fontId="1"/>
  </si>
  <si>
    <t>ルビー 70個</t>
    <phoneticPr fontId="1"/>
  </si>
  <si>
    <t>ルビー 25個</t>
    <phoneticPr fontId="1"/>
  </si>
  <si>
    <t xml:space="preserve">Wi-Fi </t>
  </si>
  <si>
    <t xml:space="preserve">Wi-Fi </t>
    <phoneticPr fontId="1"/>
  </si>
  <si>
    <t>Japan(三重県亀山市)</t>
    <phoneticPr fontId="1"/>
  </si>
  <si>
    <t>153.142.12.45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</si>
</sst>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\(0\)"/>
    <numFmt numFmtId="177" formatCode="0_ "/>
  </numFmts>
  <fonts count="2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1" fontId="0" fillId="0" borderId="0" xfId="0" applyNumberFormat="1"/>
    <xf numFmtId="14" fontId="0" fillId="0" borderId="0" xfId="0" applyNumberFormat="1"/>
    <xf numFmtId="176" fontId="0" fillId="0" borderId="0" xfId="0" applyNumberFormat="1"/>
    <xf numFmtId="177" fontId="0" fillId="0" borderId="0" xfId="0" applyNumberForma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13"/>
  <sheetViews>
    <sheetView tabSelected="1" zoomScaleNormal="100" workbookViewId="0">
      <selection activeCell="I13" sqref="I13"/>
    </sheetView>
  </sheetViews>
  <sheetFormatPr defaultRowHeight="13.2" x14ac:dyDescent="0.2"/>
  <cols>
    <col min="2" max="2" width="11.77734375" customWidth="1"/>
    <col min="7" max="7" width="17.77734375" style="3" bestFit="1" customWidth="1"/>
    <col min="9" max="9" width="17.44140625" style="2" customWidth="1"/>
    <col min="12" max="12" width="20.44140625" customWidth="1"/>
    <col min="15" max="15" width="39.6640625" bestFit="1" customWidth="1"/>
    <col min="20" max="20" width="27.88671875" bestFit="1" customWidth="1"/>
    <col min="22" max="22" width="11.6640625" bestFit="1" customWidth="1"/>
    <col min="28" max="28" width="12.77734375" bestFit="1" customWidth="1"/>
  </cols>
  <sheetData>
    <row r="1" spans="1:2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" t="s">
        <v>6</v>
      </c>
      <c r="H1" t="s">
        <v>7</v>
      </c>
      <c r="I1" s="2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1007</v>
      </c>
      <c r="AC1" t="s">
        <v>1008</v>
      </c>
    </row>
    <row r="2" spans="1:29" x14ac:dyDescent="0.2">
      <c r="A2" t="s">
        <v>27</v>
      </c>
      <c r="B2" t="s">
        <v>28</v>
      </c>
      <c r="C2" t="s">
        <v>29</v>
      </c>
      <c r="D2" t="s">
        <v>30</v>
      </c>
      <c r="E2" t="s">
        <v>31</v>
      </c>
      <c r="F2">
        <v>2</v>
      </c>
      <c r="G2" t="s">
        <v>33</v>
      </c>
      <c r="I2" s="2">
        <v>46132</v>
      </c>
      <c r="J2" s="1">
        <v>0.92743055555555554</v>
      </c>
      <c r="K2" t="s">
        <v>36</v>
      </c>
      <c r="L2" t="s">
        <v>1126</v>
      </c>
      <c r="M2" t="s">
        <v>1127</v>
      </c>
      <c r="N2" t="s">
        <v>39</v>
      </c>
      <c r="O2" t="s">
        <v>1128</v>
      </c>
      <c r="P2">
        <v>3000</v>
      </c>
      <c r="Q2" t="s">
        <v>42</v>
      </c>
      <c r="R2" t="s">
        <v>43</v>
      </c>
      <c r="S2" t="s">
        <v>44</v>
      </c>
      <c r="T2" t="s">
        <v>45</v>
      </c>
      <c r="U2" t="s">
        <v>46</v>
      </c>
      <c r="V2" t="s">
        <v>47</v>
      </c>
      <c r="W2" t="s">
        <v>48</v>
      </c>
      <c r="X2" t="s">
        <v>49</v>
      </c>
      <c r="Y2" t="s">
        <v>50</v>
      </c>
      <c r="Z2">
        <v>15</v>
      </c>
      <c r="AA2" t="s">
        <v>52</v>
      </c>
      <c r="AB2">
        <v>3000</v>
      </c>
      <c r="AC2" t="s">
        <v>53</v>
      </c>
    </row>
    <row r="3" spans="1:29" x14ac:dyDescent="0.2">
      <c r="A3" t="s">
        <v>54</v>
      </c>
      <c r="B3" t="s">
        <v>55</v>
      </c>
      <c r="C3" t="s">
        <v>29</v>
      </c>
      <c r="D3" t="s">
        <v>56</v>
      </c>
      <c r="E3" t="s">
        <v>57</v>
      </c>
      <c r="F3" t="s">
        <v>32</v>
      </c>
      <c r="G3" t="s">
        <v>58</v>
      </c>
      <c r="H3" t="s">
        <v>59</v>
      </c>
      <c r="I3" s="2">
        <v>46113</v>
      </c>
      <c r="J3" t="s">
        <v>60</v>
      </c>
      <c r="K3" t="s">
        <v>61</v>
      </c>
      <c r="L3" t="s">
        <v>62</v>
      </c>
      <c r="M3" t="s">
        <v>1016</v>
      </c>
      <c r="N3" t="s">
        <v>1017</v>
      </c>
      <c r="O3" t="s">
        <v>1018</v>
      </c>
      <c r="P3">
        <v>3600</v>
      </c>
      <c r="Q3" t="s">
        <v>42</v>
      </c>
      <c r="R3" t="s">
        <v>43</v>
      </c>
      <c r="S3" t="s">
        <v>44</v>
      </c>
      <c r="T3" t="s">
        <v>67</v>
      </c>
      <c r="U3" t="s">
        <v>68</v>
      </c>
      <c r="V3" s="2">
        <v>41993</v>
      </c>
      <c r="W3" t="s">
        <v>48</v>
      </c>
      <c r="X3" t="s">
        <v>49</v>
      </c>
      <c r="Y3" t="s">
        <v>69</v>
      </c>
      <c r="Z3" t="s">
        <v>70</v>
      </c>
      <c r="AA3" t="s">
        <v>71</v>
      </c>
      <c r="AB3">
        <v>3600</v>
      </c>
      <c r="AC3" t="s">
        <v>53</v>
      </c>
    </row>
    <row r="4" spans="1:29" x14ac:dyDescent="0.2">
      <c r="A4" t="s">
        <v>72</v>
      </c>
      <c r="B4" t="s">
        <v>73</v>
      </c>
      <c r="C4" t="s">
        <v>32</v>
      </c>
      <c r="D4" t="s">
        <v>74</v>
      </c>
      <c r="E4" t="s">
        <v>75</v>
      </c>
      <c r="F4" t="s">
        <v>29</v>
      </c>
      <c r="G4" t="s">
        <v>76</v>
      </c>
      <c r="H4" t="s">
        <v>77</v>
      </c>
      <c r="I4" s="2">
        <v>46113</v>
      </c>
      <c r="J4" s="1">
        <v>0.38901620370370371</v>
      </c>
      <c r="K4" t="s">
        <v>79</v>
      </c>
      <c r="L4" t="s">
        <v>80</v>
      </c>
      <c r="M4" t="s">
        <v>1066</v>
      </c>
      <c r="N4" t="s">
        <v>1028</v>
      </c>
      <c r="O4" t="s">
        <v>1067</v>
      </c>
      <c r="P4">
        <v>620</v>
      </c>
      <c r="S4" t="s">
        <v>44</v>
      </c>
      <c r="T4" t="s">
        <v>81</v>
      </c>
      <c r="U4" t="s">
        <v>68</v>
      </c>
      <c r="V4" s="2">
        <v>42130</v>
      </c>
      <c r="W4" t="s">
        <v>48</v>
      </c>
      <c r="X4" t="s">
        <v>49</v>
      </c>
      <c r="Y4" t="s">
        <v>82</v>
      </c>
      <c r="Z4" t="s">
        <v>83</v>
      </c>
      <c r="AA4" t="s">
        <v>84</v>
      </c>
      <c r="AB4" cm="1">
        <f t="array" ref="AB4">IF(OR(COUNTIF(K4, "*FAC.C*")&gt;0, COUNTIF(J4, "*チャージ*")&gt;0, COUNTIF(J4, "*ギフト*")&gt;0), IFERROR(_xlfn.XLOOKUP(B4, $B$1:B3, $AB$1:AB3, 0, 0, -1), 0), IFERROR(ROUND(_xlfn.XLOOKUP(B4, $B$1:B3, $AB$1:AB3, 0, 0, -1) * 0.9 + P4 * 0.1, 0), ""))</f>
        <v>62</v>
      </c>
      <c r="AC4" t="s">
        <v>1045</v>
      </c>
    </row>
    <row r="5" spans="1:29" x14ac:dyDescent="0.2">
      <c r="A5" t="s">
        <v>86</v>
      </c>
      <c r="B5" t="s">
        <v>87</v>
      </c>
      <c r="C5" t="s">
        <v>32</v>
      </c>
      <c r="D5" t="s">
        <v>88</v>
      </c>
      <c r="E5" t="s">
        <v>89</v>
      </c>
      <c r="F5">
        <v>1</v>
      </c>
      <c r="G5" t="s">
        <v>91</v>
      </c>
      <c r="H5" t="s">
        <v>77</v>
      </c>
      <c r="I5" s="2">
        <v>46113</v>
      </c>
      <c r="J5" s="1">
        <v>0.95534722222222224</v>
      </c>
      <c r="K5" t="s">
        <v>92</v>
      </c>
      <c r="L5" t="s">
        <v>80</v>
      </c>
      <c r="M5" t="s">
        <v>1084</v>
      </c>
      <c r="N5" t="s">
        <v>1072</v>
      </c>
      <c r="O5" t="s">
        <v>94</v>
      </c>
      <c r="P5" t="s">
        <v>95</v>
      </c>
      <c r="Q5" t="s">
        <v>42</v>
      </c>
      <c r="R5" t="s">
        <v>43</v>
      </c>
      <c r="S5" t="s">
        <v>44</v>
      </c>
      <c r="T5" t="s">
        <v>96</v>
      </c>
      <c r="U5" t="s">
        <v>200</v>
      </c>
      <c r="V5" s="2">
        <v>42091</v>
      </c>
      <c r="W5" t="s">
        <v>48</v>
      </c>
      <c r="X5" t="s">
        <v>49</v>
      </c>
      <c r="Z5">
        <v>14</v>
      </c>
      <c r="AA5" t="s">
        <v>52</v>
      </c>
      <c r="AB5">
        <v>980</v>
      </c>
      <c r="AC5" t="s">
        <v>1075</v>
      </c>
    </row>
    <row r="6" spans="1:29" x14ac:dyDescent="0.2">
      <c r="A6" t="s">
        <v>98</v>
      </c>
      <c r="B6" t="s">
        <v>99</v>
      </c>
      <c r="C6" t="s">
        <v>29</v>
      </c>
      <c r="D6" t="s">
        <v>100</v>
      </c>
      <c r="E6" t="s">
        <v>101</v>
      </c>
      <c r="F6" t="s">
        <v>90</v>
      </c>
      <c r="G6" s="4" t="s">
        <v>102</v>
      </c>
      <c r="H6" t="s">
        <v>34</v>
      </c>
      <c r="I6" s="2">
        <v>46113</v>
      </c>
      <c r="J6" s="1">
        <v>0.34038194444444442</v>
      </c>
      <c r="K6" t="s">
        <v>103</v>
      </c>
      <c r="L6" t="s">
        <v>37</v>
      </c>
      <c r="M6" t="s">
        <v>1060</v>
      </c>
      <c r="N6" t="s">
        <v>1034</v>
      </c>
      <c r="O6" t="s">
        <v>1061</v>
      </c>
      <c r="P6">
        <v>10000</v>
      </c>
      <c r="Q6" t="s">
        <v>42</v>
      </c>
      <c r="R6" t="s">
        <v>43</v>
      </c>
      <c r="S6" t="s">
        <v>44</v>
      </c>
      <c r="T6" t="s">
        <v>106</v>
      </c>
      <c r="U6" t="s">
        <v>68</v>
      </c>
      <c r="V6" s="2">
        <v>44633</v>
      </c>
      <c r="W6" t="s">
        <v>48</v>
      </c>
      <c r="X6" t="s">
        <v>49</v>
      </c>
      <c r="Y6" t="s">
        <v>50</v>
      </c>
      <c r="Z6">
        <v>14</v>
      </c>
      <c r="AA6" t="s">
        <v>1065</v>
      </c>
      <c r="AB6">
        <v>21368</v>
      </c>
      <c r="AC6" t="s">
        <v>85</v>
      </c>
    </row>
    <row r="7" spans="1:29" x14ac:dyDescent="0.2">
      <c r="A7" t="s">
        <v>1110</v>
      </c>
      <c r="B7" t="s">
        <v>109</v>
      </c>
      <c r="C7">
        <v>1</v>
      </c>
      <c r="D7" t="s">
        <v>110</v>
      </c>
      <c r="E7" t="s">
        <v>111</v>
      </c>
      <c r="F7">
        <v>1</v>
      </c>
      <c r="G7" t="s">
        <v>112</v>
      </c>
      <c r="H7" t="s">
        <v>34</v>
      </c>
      <c r="I7" s="2">
        <v>46113</v>
      </c>
      <c r="J7" s="1">
        <v>0.81483796296296296</v>
      </c>
      <c r="K7" t="s">
        <v>1111</v>
      </c>
      <c r="L7" t="s">
        <v>1079</v>
      </c>
      <c r="N7" t="s">
        <v>115</v>
      </c>
      <c r="O7" t="s">
        <v>1114</v>
      </c>
      <c r="P7">
        <v>1832</v>
      </c>
      <c r="Q7" t="s">
        <v>42</v>
      </c>
      <c r="R7" t="s">
        <v>43</v>
      </c>
      <c r="S7" t="s">
        <v>44</v>
      </c>
      <c r="T7" t="s">
        <v>118</v>
      </c>
      <c r="U7" t="s">
        <v>97</v>
      </c>
      <c r="W7" t="s">
        <v>48</v>
      </c>
      <c r="X7" t="s">
        <v>49</v>
      </c>
      <c r="Z7">
        <v>16</v>
      </c>
      <c r="AA7" t="s">
        <v>71</v>
      </c>
      <c r="AB7" cm="1">
        <f t="array" ref="AB7">IF(OR(COUNTIF(K7, "*FAC.C*")&gt;0, COUNTIF(J7, "*チャージ*")&gt;0, COUNTIF(J7, "*ギフト*")&gt;0), IFERROR(_xlfn.XLOOKUP(B7, $B$1:B6, $AB$1:AB6, 0, 0, -1), 0), IFERROR(ROUND(_xlfn.XLOOKUP(B7, $B$1:B6, $AB$1:AB6, 0, 0, -1) * 0.9 + P7 * 0.1, 0), ""))</f>
        <v>183</v>
      </c>
      <c r="AC7" t="s">
        <v>53</v>
      </c>
    </row>
    <row r="8" spans="1:29" x14ac:dyDescent="0.2">
      <c r="A8" t="s">
        <v>119</v>
      </c>
      <c r="B8" t="s">
        <v>120</v>
      </c>
      <c r="C8" t="s">
        <v>29</v>
      </c>
      <c r="D8" t="s">
        <v>100</v>
      </c>
      <c r="E8" t="s">
        <v>121</v>
      </c>
      <c r="F8" t="s">
        <v>32</v>
      </c>
      <c r="G8" t="s">
        <v>122</v>
      </c>
      <c r="H8" t="s">
        <v>34</v>
      </c>
      <c r="I8" s="2">
        <v>46113</v>
      </c>
      <c r="J8" t="s">
        <v>123</v>
      </c>
      <c r="K8" t="s">
        <v>124</v>
      </c>
      <c r="L8" t="s">
        <v>125</v>
      </c>
      <c r="M8" t="s">
        <v>1057</v>
      </c>
      <c r="N8" t="s">
        <v>1028</v>
      </c>
      <c r="O8" t="s">
        <v>1058</v>
      </c>
      <c r="P8">
        <v>600</v>
      </c>
      <c r="Q8" t="s">
        <v>42</v>
      </c>
      <c r="R8" t="s">
        <v>43</v>
      </c>
      <c r="S8" t="s">
        <v>44</v>
      </c>
      <c r="T8" t="s">
        <v>106</v>
      </c>
      <c r="U8" t="s">
        <v>46</v>
      </c>
      <c r="V8" s="2">
        <v>45767</v>
      </c>
      <c r="W8" t="s">
        <v>48</v>
      </c>
      <c r="X8" t="s">
        <v>49</v>
      </c>
      <c r="Y8" t="s">
        <v>82</v>
      </c>
      <c r="Z8" t="s">
        <v>70</v>
      </c>
      <c r="AA8" t="s">
        <v>128</v>
      </c>
      <c r="AB8">
        <v>600</v>
      </c>
      <c r="AC8" t="s">
        <v>85</v>
      </c>
    </row>
    <row r="9" spans="1:29" x14ac:dyDescent="0.2">
      <c r="A9" t="s">
        <v>129</v>
      </c>
      <c r="B9" t="s">
        <v>130</v>
      </c>
      <c r="C9" t="s">
        <v>29</v>
      </c>
      <c r="D9" t="s">
        <v>131</v>
      </c>
      <c r="E9" t="s">
        <v>132</v>
      </c>
      <c r="F9" t="s">
        <v>29</v>
      </c>
      <c r="G9" t="s">
        <v>133</v>
      </c>
      <c r="H9" t="s">
        <v>134</v>
      </c>
      <c r="I9" s="2">
        <v>46113</v>
      </c>
      <c r="J9" t="s">
        <v>135</v>
      </c>
      <c r="K9" t="s">
        <v>136</v>
      </c>
      <c r="L9" t="s">
        <v>137</v>
      </c>
      <c r="M9" t="s">
        <v>138</v>
      </c>
      <c r="N9" t="s">
        <v>1182</v>
      </c>
      <c r="O9" t="s">
        <v>1183</v>
      </c>
      <c r="P9">
        <v>480</v>
      </c>
      <c r="Q9" t="s">
        <v>42</v>
      </c>
      <c r="R9" t="s">
        <v>43</v>
      </c>
      <c r="S9" t="s">
        <v>44</v>
      </c>
      <c r="T9" t="s">
        <v>141</v>
      </c>
      <c r="U9" t="s">
        <v>46</v>
      </c>
      <c r="V9" s="2">
        <v>43921</v>
      </c>
      <c r="W9" t="s">
        <v>48</v>
      </c>
      <c r="X9" t="s">
        <v>49</v>
      </c>
      <c r="Y9" t="s">
        <v>142</v>
      </c>
      <c r="Z9">
        <v>16</v>
      </c>
      <c r="AA9" t="s">
        <v>52</v>
      </c>
      <c r="AB9">
        <v>480</v>
      </c>
      <c r="AC9" t="s">
        <v>53</v>
      </c>
    </row>
    <row r="10" spans="1:29" x14ac:dyDescent="0.2">
      <c r="A10" t="s">
        <v>143</v>
      </c>
      <c r="B10" t="s">
        <v>144</v>
      </c>
      <c r="C10" t="s">
        <v>145</v>
      </c>
      <c r="D10" t="s">
        <v>146</v>
      </c>
      <c r="E10" t="s">
        <v>147</v>
      </c>
      <c r="F10">
        <v>2</v>
      </c>
      <c r="G10" t="s">
        <v>148</v>
      </c>
      <c r="H10" t="s">
        <v>77</v>
      </c>
      <c r="I10" s="2">
        <v>46113</v>
      </c>
      <c r="J10" s="1">
        <v>0.51045138888888886</v>
      </c>
      <c r="K10" t="s">
        <v>149</v>
      </c>
      <c r="L10" t="s">
        <v>1097</v>
      </c>
      <c r="M10" t="s">
        <v>1098</v>
      </c>
      <c r="N10" t="s">
        <v>1099</v>
      </c>
      <c r="O10" t="s">
        <v>1100</v>
      </c>
      <c r="P10">
        <v>480</v>
      </c>
      <c r="S10" t="s">
        <v>44</v>
      </c>
      <c r="T10" t="s">
        <v>150</v>
      </c>
      <c r="U10" t="s">
        <v>97</v>
      </c>
      <c r="V10" s="2">
        <v>44651</v>
      </c>
      <c r="W10" t="s">
        <v>48</v>
      </c>
      <c r="X10" t="s">
        <v>49</v>
      </c>
      <c r="Z10">
        <v>16</v>
      </c>
      <c r="AA10" t="s">
        <v>84</v>
      </c>
      <c r="AB10">
        <v>548</v>
      </c>
      <c r="AC10" t="s">
        <v>53</v>
      </c>
    </row>
    <row r="11" spans="1:29" x14ac:dyDescent="0.2">
      <c r="A11" t="s">
        <v>151</v>
      </c>
      <c r="B11" t="s">
        <v>152</v>
      </c>
      <c r="C11" t="s">
        <v>32</v>
      </c>
      <c r="D11" t="s">
        <v>153</v>
      </c>
      <c r="E11" t="s">
        <v>154</v>
      </c>
      <c r="F11" t="s">
        <v>90</v>
      </c>
      <c r="G11" t="s">
        <v>155</v>
      </c>
      <c r="H11" t="s">
        <v>77</v>
      </c>
      <c r="I11" s="2">
        <v>46113</v>
      </c>
      <c r="J11" t="s">
        <v>156</v>
      </c>
      <c r="K11" t="s">
        <v>157</v>
      </c>
      <c r="L11" t="s">
        <v>113</v>
      </c>
      <c r="M11" t="s">
        <v>158</v>
      </c>
      <c r="N11" t="s">
        <v>115</v>
      </c>
      <c r="O11" t="s">
        <v>159</v>
      </c>
      <c r="P11">
        <v>1280</v>
      </c>
      <c r="Q11" t="s">
        <v>42</v>
      </c>
      <c r="R11" t="s">
        <v>43</v>
      </c>
      <c r="S11" t="s">
        <v>44</v>
      </c>
      <c r="T11" t="s">
        <v>161</v>
      </c>
      <c r="U11" t="s">
        <v>68</v>
      </c>
      <c r="V11" t="s">
        <v>47</v>
      </c>
      <c r="W11" t="s">
        <v>48</v>
      </c>
      <c r="X11" t="s">
        <v>49</v>
      </c>
      <c r="Y11" t="s">
        <v>82</v>
      </c>
      <c r="Z11" t="s">
        <v>70</v>
      </c>
      <c r="AA11" t="s">
        <v>71</v>
      </c>
      <c r="AB11">
        <v>5451</v>
      </c>
      <c r="AC11" t="s">
        <v>53</v>
      </c>
    </row>
    <row r="12" spans="1:29" x14ac:dyDescent="0.2">
      <c r="A12" t="s">
        <v>162</v>
      </c>
      <c r="B12" t="s">
        <v>163</v>
      </c>
      <c r="C12" t="s">
        <v>145</v>
      </c>
      <c r="D12" t="s">
        <v>164</v>
      </c>
      <c r="E12" t="s">
        <v>165</v>
      </c>
      <c r="F12" t="s">
        <v>145</v>
      </c>
      <c r="G12" t="s">
        <v>166</v>
      </c>
      <c r="H12" t="s">
        <v>34</v>
      </c>
      <c r="I12" s="2">
        <v>46114</v>
      </c>
      <c r="J12" t="s">
        <v>168</v>
      </c>
      <c r="K12" t="s">
        <v>169</v>
      </c>
      <c r="L12" t="s">
        <v>113</v>
      </c>
      <c r="M12" t="s">
        <v>158</v>
      </c>
      <c r="N12" t="s">
        <v>115</v>
      </c>
      <c r="O12" t="s">
        <v>159</v>
      </c>
      <c r="P12" t="s">
        <v>160</v>
      </c>
      <c r="Q12" t="s">
        <v>42</v>
      </c>
      <c r="R12" t="s">
        <v>43</v>
      </c>
      <c r="S12" t="s">
        <v>44</v>
      </c>
      <c r="T12" t="s">
        <v>170</v>
      </c>
      <c r="U12" t="s">
        <v>46</v>
      </c>
      <c r="V12" t="s">
        <v>35</v>
      </c>
      <c r="W12" t="s">
        <v>48</v>
      </c>
      <c r="X12" t="s">
        <v>49</v>
      </c>
      <c r="Y12" t="s">
        <v>69</v>
      </c>
      <c r="Z12" t="s">
        <v>83</v>
      </c>
      <c r="AA12" t="s">
        <v>84</v>
      </c>
      <c r="AB12">
        <v>4725</v>
      </c>
      <c r="AC12" t="s">
        <v>85</v>
      </c>
    </row>
    <row r="13" spans="1:29" x14ac:dyDescent="0.2">
      <c r="A13" t="s">
        <v>171</v>
      </c>
      <c r="B13" t="s">
        <v>172</v>
      </c>
      <c r="C13" t="s">
        <v>173</v>
      </c>
      <c r="D13" t="s">
        <v>174</v>
      </c>
      <c r="E13" t="s">
        <v>175</v>
      </c>
      <c r="F13" t="s">
        <v>32</v>
      </c>
      <c r="G13" t="s">
        <v>176</v>
      </c>
      <c r="H13" t="s">
        <v>59</v>
      </c>
      <c r="I13" s="2">
        <v>46114</v>
      </c>
      <c r="J13" s="1">
        <v>0.52803240740740742</v>
      </c>
      <c r="K13" t="s">
        <v>177</v>
      </c>
      <c r="L13" t="s">
        <v>137</v>
      </c>
      <c r="M13" t="s">
        <v>93</v>
      </c>
      <c r="N13" t="s">
        <v>1028</v>
      </c>
      <c r="O13" t="s">
        <v>178</v>
      </c>
      <c r="P13" t="s">
        <v>179</v>
      </c>
      <c r="Q13" t="s">
        <v>42</v>
      </c>
      <c r="R13" t="s">
        <v>43</v>
      </c>
      <c r="S13" t="s">
        <v>44</v>
      </c>
      <c r="T13" t="s">
        <v>180</v>
      </c>
      <c r="U13" t="s">
        <v>68</v>
      </c>
      <c r="V13" s="2">
        <v>46082</v>
      </c>
      <c r="W13" t="s">
        <v>48</v>
      </c>
      <c r="X13" t="s">
        <v>49</v>
      </c>
      <c r="Y13" t="s">
        <v>142</v>
      </c>
      <c r="Z13" t="s">
        <v>51</v>
      </c>
      <c r="AA13" t="s">
        <v>107</v>
      </c>
      <c r="AB13">
        <v>3670</v>
      </c>
      <c r="AC13" t="s">
        <v>53</v>
      </c>
    </row>
    <row r="14" spans="1:29" x14ac:dyDescent="0.2">
      <c r="A14" t="s">
        <v>181</v>
      </c>
      <c r="B14" t="s">
        <v>182</v>
      </c>
      <c r="C14" t="s">
        <v>29</v>
      </c>
      <c r="D14" t="s">
        <v>183</v>
      </c>
      <c r="E14" t="s">
        <v>70</v>
      </c>
      <c r="F14" t="s">
        <v>90</v>
      </c>
      <c r="G14" t="s">
        <v>184</v>
      </c>
      <c r="H14" t="s">
        <v>34</v>
      </c>
      <c r="I14" s="2">
        <v>46114</v>
      </c>
      <c r="J14" t="s">
        <v>185</v>
      </c>
      <c r="K14" t="s">
        <v>186</v>
      </c>
      <c r="L14" t="s">
        <v>113</v>
      </c>
      <c r="M14" t="s">
        <v>104</v>
      </c>
      <c r="N14" t="s">
        <v>39</v>
      </c>
      <c r="O14" t="s">
        <v>187</v>
      </c>
      <c r="P14" t="s">
        <v>188</v>
      </c>
      <c r="Q14" t="s">
        <v>42</v>
      </c>
      <c r="R14" t="s">
        <v>43</v>
      </c>
      <c r="S14" t="s">
        <v>44</v>
      </c>
      <c r="T14" t="s">
        <v>189</v>
      </c>
      <c r="U14" t="s">
        <v>46</v>
      </c>
      <c r="V14" t="s">
        <v>35</v>
      </c>
      <c r="W14" t="s">
        <v>48</v>
      </c>
      <c r="X14" t="s">
        <v>49</v>
      </c>
      <c r="Y14" t="s">
        <v>69</v>
      </c>
      <c r="Z14" t="s">
        <v>51</v>
      </c>
      <c r="AA14" t="s">
        <v>52</v>
      </c>
      <c r="AB14">
        <v>5428</v>
      </c>
      <c r="AC14" t="s">
        <v>85</v>
      </c>
    </row>
    <row r="15" spans="1:29" x14ac:dyDescent="0.2">
      <c r="A15" t="s">
        <v>190</v>
      </c>
      <c r="B15" t="s">
        <v>191</v>
      </c>
      <c r="C15" t="s">
        <v>32</v>
      </c>
      <c r="D15" t="s">
        <v>192</v>
      </c>
      <c r="E15">
        <v>30</v>
      </c>
      <c r="F15" t="s">
        <v>29</v>
      </c>
      <c r="G15" t="s">
        <v>194</v>
      </c>
      <c r="H15" t="s">
        <v>77</v>
      </c>
      <c r="I15" s="2">
        <v>46114</v>
      </c>
      <c r="J15" t="s">
        <v>195</v>
      </c>
      <c r="K15" t="s">
        <v>196</v>
      </c>
      <c r="L15" t="s">
        <v>1141</v>
      </c>
      <c r="M15" t="s">
        <v>1142</v>
      </c>
      <c r="N15" t="s">
        <v>1077</v>
      </c>
      <c r="O15" t="s">
        <v>1143</v>
      </c>
      <c r="P15">
        <v>610</v>
      </c>
      <c r="Q15" t="s">
        <v>42</v>
      </c>
      <c r="R15" t="s">
        <v>43</v>
      </c>
      <c r="S15" t="s">
        <v>44</v>
      </c>
      <c r="T15" t="s">
        <v>199</v>
      </c>
      <c r="U15" t="s">
        <v>200</v>
      </c>
      <c r="V15" t="s">
        <v>35</v>
      </c>
      <c r="W15" t="s">
        <v>48</v>
      </c>
      <c r="X15" t="s">
        <v>49</v>
      </c>
      <c r="Y15">
        <v>498007</v>
      </c>
      <c r="Z15">
        <v>15</v>
      </c>
      <c r="AA15" t="s">
        <v>52</v>
      </c>
      <c r="AB15">
        <v>543</v>
      </c>
      <c r="AC15" t="s">
        <v>85</v>
      </c>
    </row>
    <row r="16" spans="1:29" x14ac:dyDescent="0.2">
      <c r="A16" t="s">
        <v>201</v>
      </c>
      <c r="B16" t="s">
        <v>202</v>
      </c>
      <c r="C16" t="s">
        <v>145</v>
      </c>
      <c r="D16" t="s">
        <v>203</v>
      </c>
      <c r="E16" t="s">
        <v>204</v>
      </c>
      <c r="F16" t="s">
        <v>173</v>
      </c>
      <c r="G16" t="s">
        <v>205</v>
      </c>
      <c r="H16" t="s">
        <v>77</v>
      </c>
      <c r="I16" s="2">
        <v>46114</v>
      </c>
      <c r="J16" t="s">
        <v>206</v>
      </c>
      <c r="K16" t="s">
        <v>207</v>
      </c>
      <c r="L16" t="s">
        <v>37</v>
      </c>
      <c r="M16" t="s">
        <v>1031</v>
      </c>
      <c r="N16" t="s">
        <v>1025</v>
      </c>
      <c r="O16" t="s">
        <v>208</v>
      </c>
      <c r="P16" t="s">
        <v>209</v>
      </c>
      <c r="Q16" t="s">
        <v>42</v>
      </c>
      <c r="R16" t="s">
        <v>43</v>
      </c>
      <c r="S16" t="s">
        <v>44</v>
      </c>
      <c r="T16" t="s">
        <v>210</v>
      </c>
      <c r="U16" t="s">
        <v>200</v>
      </c>
      <c r="V16" s="2">
        <v>42937</v>
      </c>
      <c r="W16" t="s">
        <v>48</v>
      </c>
      <c r="X16" t="s">
        <v>49</v>
      </c>
      <c r="Y16" t="s">
        <v>142</v>
      </c>
      <c r="Z16" t="s">
        <v>51</v>
      </c>
      <c r="AA16" t="s">
        <v>52</v>
      </c>
      <c r="AB16">
        <v>984</v>
      </c>
      <c r="AC16" t="s">
        <v>85</v>
      </c>
    </row>
    <row r="17" spans="1:29" x14ac:dyDescent="0.2">
      <c r="A17" t="s">
        <v>211</v>
      </c>
      <c r="B17" t="s">
        <v>212</v>
      </c>
      <c r="C17" t="s">
        <v>145</v>
      </c>
      <c r="D17" t="s">
        <v>213</v>
      </c>
      <c r="E17" t="s">
        <v>147</v>
      </c>
      <c r="F17" t="s">
        <v>145</v>
      </c>
      <c r="G17" t="s">
        <v>214</v>
      </c>
      <c r="H17" t="s">
        <v>59</v>
      </c>
      <c r="I17" s="2">
        <v>46114</v>
      </c>
      <c r="J17" t="s">
        <v>215</v>
      </c>
      <c r="K17" t="s">
        <v>216</v>
      </c>
      <c r="L17" t="s">
        <v>62</v>
      </c>
      <c r="M17" t="s">
        <v>217</v>
      </c>
      <c r="N17" t="s">
        <v>1028</v>
      </c>
      <c r="O17" t="s">
        <v>218</v>
      </c>
      <c r="P17" t="s">
        <v>219</v>
      </c>
      <c r="Q17" t="s">
        <v>42</v>
      </c>
      <c r="R17" t="s">
        <v>43</v>
      </c>
      <c r="S17" t="s">
        <v>44</v>
      </c>
      <c r="T17" t="s">
        <v>220</v>
      </c>
      <c r="U17" t="s">
        <v>221</v>
      </c>
      <c r="V17" s="2">
        <v>45368</v>
      </c>
      <c r="W17" t="s">
        <v>48</v>
      </c>
      <c r="X17" t="s">
        <v>49</v>
      </c>
      <c r="Y17" t="s">
        <v>69</v>
      </c>
      <c r="Z17" t="s">
        <v>51</v>
      </c>
      <c r="AA17" t="s">
        <v>52</v>
      </c>
      <c r="AB17">
        <v>3246</v>
      </c>
      <c r="AC17" t="s">
        <v>53</v>
      </c>
    </row>
    <row r="18" spans="1:29" x14ac:dyDescent="0.2">
      <c r="A18" t="s">
        <v>222</v>
      </c>
      <c r="B18" t="s">
        <v>1019</v>
      </c>
      <c r="C18" t="s">
        <v>173</v>
      </c>
      <c r="D18" t="s">
        <v>224</v>
      </c>
      <c r="E18" t="s">
        <v>147</v>
      </c>
      <c r="F18">
        <v>1</v>
      </c>
      <c r="G18" t="s">
        <v>225</v>
      </c>
      <c r="H18" t="s">
        <v>59</v>
      </c>
      <c r="I18" s="2">
        <v>46114</v>
      </c>
      <c r="J18" t="s">
        <v>226</v>
      </c>
      <c r="K18" t="s">
        <v>227</v>
      </c>
      <c r="L18" t="s">
        <v>113</v>
      </c>
      <c r="M18" t="s">
        <v>38</v>
      </c>
      <c r="N18" t="s">
        <v>1014</v>
      </c>
      <c r="O18" t="s">
        <v>1021</v>
      </c>
      <c r="P18">
        <v>2200</v>
      </c>
      <c r="Q18" t="s">
        <v>42</v>
      </c>
      <c r="R18" t="s">
        <v>43</v>
      </c>
      <c r="S18" t="s">
        <v>44</v>
      </c>
      <c r="T18" t="s">
        <v>229</v>
      </c>
      <c r="U18" t="s">
        <v>97</v>
      </c>
      <c r="V18" s="2">
        <v>41622</v>
      </c>
      <c r="W18" t="s">
        <v>48</v>
      </c>
      <c r="X18" t="s">
        <v>49</v>
      </c>
      <c r="Y18" t="s">
        <v>69</v>
      </c>
      <c r="Z18">
        <v>13</v>
      </c>
      <c r="AA18" t="s">
        <v>84</v>
      </c>
      <c r="AB18">
        <v>3060</v>
      </c>
      <c r="AC18" t="s">
        <v>85</v>
      </c>
    </row>
    <row r="19" spans="1:29" x14ac:dyDescent="0.2">
      <c r="A19" t="s">
        <v>230</v>
      </c>
      <c r="B19" t="s">
        <v>1080</v>
      </c>
      <c r="C19" t="s">
        <v>173</v>
      </c>
      <c r="D19" t="s">
        <v>232</v>
      </c>
      <c r="E19" t="s">
        <v>233</v>
      </c>
      <c r="F19" t="s">
        <v>145</v>
      </c>
      <c r="G19" t="s">
        <v>234</v>
      </c>
      <c r="H19" t="s">
        <v>34</v>
      </c>
      <c r="I19" s="2">
        <v>46114</v>
      </c>
      <c r="J19" s="1">
        <v>0.50361111111111112</v>
      </c>
      <c r="K19" t="s">
        <v>235</v>
      </c>
      <c r="L19" t="s">
        <v>62</v>
      </c>
      <c r="M19" t="s">
        <v>236</v>
      </c>
      <c r="N19" t="s">
        <v>115</v>
      </c>
      <c r="O19" t="s">
        <v>237</v>
      </c>
      <c r="P19" t="s">
        <v>238</v>
      </c>
      <c r="S19" t="s">
        <v>44</v>
      </c>
      <c r="T19" t="s">
        <v>239</v>
      </c>
      <c r="U19" t="s">
        <v>68</v>
      </c>
      <c r="V19" s="2">
        <v>43586</v>
      </c>
      <c r="W19" t="s">
        <v>48</v>
      </c>
      <c r="X19" t="s">
        <v>49</v>
      </c>
      <c r="Y19" t="s">
        <v>69</v>
      </c>
      <c r="Z19">
        <v>15</v>
      </c>
      <c r="AA19" t="s">
        <v>84</v>
      </c>
      <c r="AB19">
        <v>550</v>
      </c>
      <c r="AC19" t="s">
        <v>53</v>
      </c>
    </row>
    <row r="20" spans="1:29" x14ac:dyDescent="0.2">
      <c r="A20" t="s">
        <v>240</v>
      </c>
      <c r="B20" t="s">
        <v>241</v>
      </c>
      <c r="C20" t="s">
        <v>29</v>
      </c>
      <c r="D20" t="s">
        <v>88</v>
      </c>
      <c r="E20" t="s">
        <v>154</v>
      </c>
      <c r="F20" t="s">
        <v>29</v>
      </c>
      <c r="G20" t="s">
        <v>242</v>
      </c>
      <c r="H20" t="s">
        <v>77</v>
      </c>
      <c r="I20" s="2">
        <v>46114</v>
      </c>
      <c r="J20" t="s">
        <v>243</v>
      </c>
      <c r="K20" t="s">
        <v>244</v>
      </c>
      <c r="L20" t="s">
        <v>137</v>
      </c>
      <c r="M20" t="s">
        <v>138</v>
      </c>
      <c r="N20" t="s">
        <v>39</v>
      </c>
      <c r="O20" t="s">
        <v>139</v>
      </c>
      <c r="P20" t="s">
        <v>140</v>
      </c>
      <c r="Q20" t="s">
        <v>42</v>
      </c>
      <c r="R20" t="s">
        <v>43</v>
      </c>
      <c r="S20" t="s">
        <v>44</v>
      </c>
      <c r="T20" t="s">
        <v>96</v>
      </c>
      <c r="U20" t="s">
        <v>97</v>
      </c>
      <c r="V20" s="2">
        <v>45566</v>
      </c>
      <c r="W20" t="s">
        <v>48</v>
      </c>
      <c r="X20" t="s">
        <v>49</v>
      </c>
      <c r="Y20" t="s">
        <v>142</v>
      </c>
      <c r="Z20" t="s">
        <v>51</v>
      </c>
      <c r="AA20" t="s">
        <v>107</v>
      </c>
      <c r="AB20">
        <v>7266</v>
      </c>
      <c r="AC20" t="s">
        <v>85</v>
      </c>
    </row>
    <row r="21" spans="1:29" x14ac:dyDescent="0.2">
      <c r="A21" t="s">
        <v>245</v>
      </c>
      <c r="B21" t="s">
        <v>246</v>
      </c>
      <c r="C21" t="s">
        <v>145</v>
      </c>
      <c r="D21" t="s">
        <v>100</v>
      </c>
      <c r="E21" t="s">
        <v>247</v>
      </c>
      <c r="F21" t="s">
        <v>32</v>
      </c>
      <c r="G21" t="s">
        <v>248</v>
      </c>
      <c r="H21" t="s">
        <v>134</v>
      </c>
      <c r="I21" s="2">
        <v>46114</v>
      </c>
      <c r="J21" s="1">
        <v>0.82986111111111116</v>
      </c>
      <c r="K21" t="s">
        <v>249</v>
      </c>
      <c r="L21" t="s">
        <v>1141</v>
      </c>
      <c r="M21" t="s">
        <v>1078</v>
      </c>
      <c r="N21" t="s">
        <v>1072</v>
      </c>
      <c r="O21" t="s">
        <v>1176</v>
      </c>
      <c r="P21">
        <v>480</v>
      </c>
      <c r="Q21" t="s">
        <v>42</v>
      </c>
      <c r="R21" t="s">
        <v>43</v>
      </c>
      <c r="S21" t="s">
        <v>44</v>
      </c>
      <c r="T21" t="s">
        <v>1178</v>
      </c>
      <c r="U21" t="s">
        <v>200</v>
      </c>
      <c r="V21" s="2">
        <v>45870</v>
      </c>
      <c r="W21" t="s">
        <v>48</v>
      </c>
      <c r="X21" t="s">
        <v>49</v>
      </c>
      <c r="Y21">
        <v>541011</v>
      </c>
      <c r="Z21">
        <v>16</v>
      </c>
      <c r="AA21" t="s">
        <v>84</v>
      </c>
      <c r="AB21">
        <v>746</v>
      </c>
      <c r="AC21" t="s">
        <v>53</v>
      </c>
    </row>
    <row r="22" spans="1:29" x14ac:dyDescent="0.2">
      <c r="A22" t="s">
        <v>252</v>
      </c>
      <c r="B22" t="s">
        <v>253</v>
      </c>
      <c r="C22" t="s">
        <v>32</v>
      </c>
      <c r="D22" t="s">
        <v>254</v>
      </c>
      <c r="E22" t="s">
        <v>255</v>
      </c>
      <c r="F22" t="s">
        <v>173</v>
      </c>
      <c r="G22" t="s">
        <v>256</v>
      </c>
      <c r="H22" t="s">
        <v>59</v>
      </c>
      <c r="I22" s="2">
        <v>46115</v>
      </c>
      <c r="J22" t="s">
        <v>258</v>
      </c>
      <c r="K22" t="s">
        <v>259</v>
      </c>
      <c r="L22" t="s">
        <v>137</v>
      </c>
      <c r="M22" t="s">
        <v>114</v>
      </c>
      <c r="N22" t="s">
        <v>1025</v>
      </c>
      <c r="O22" t="s">
        <v>116</v>
      </c>
      <c r="P22" t="s">
        <v>117</v>
      </c>
      <c r="Q22" t="s">
        <v>42</v>
      </c>
      <c r="R22" t="s">
        <v>43</v>
      </c>
      <c r="S22" t="s">
        <v>44</v>
      </c>
      <c r="T22" t="s">
        <v>260</v>
      </c>
      <c r="U22" t="s">
        <v>221</v>
      </c>
      <c r="V22" s="2">
        <v>44180</v>
      </c>
      <c r="W22" t="s">
        <v>48</v>
      </c>
      <c r="X22" t="s">
        <v>49</v>
      </c>
      <c r="Y22" t="s">
        <v>142</v>
      </c>
      <c r="Z22">
        <v>13</v>
      </c>
      <c r="AA22" t="s">
        <v>128</v>
      </c>
      <c r="AB22">
        <v>6008</v>
      </c>
      <c r="AC22" t="s">
        <v>53</v>
      </c>
    </row>
    <row r="23" spans="1:29" x14ac:dyDescent="0.2">
      <c r="A23" t="s">
        <v>261</v>
      </c>
      <c r="B23" t="s">
        <v>262</v>
      </c>
      <c r="C23" t="s">
        <v>32</v>
      </c>
      <c r="D23" t="s">
        <v>263</v>
      </c>
      <c r="E23" t="s">
        <v>204</v>
      </c>
      <c r="F23" t="s">
        <v>29</v>
      </c>
      <c r="G23" t="s">
        <v>264</v>
      </c>
      <c r="H23" t="s">
        <v>34</v>
      </c>
      <c r="I23" s="2">
        <v>46115</v>
      </c>
      <c r="J23" s="1">
        <v>0.32089120370370372</v>
      </c>
      <c r="K23" t="s">
        <v>265</v>
      </c>
      <c r="L23" t="s">
        <v>1126</v>
      </c>
      <c r="M23" t="s">
        <v>1089</v>
      </c>
      <c r="N23" t="s">
        <v>1090</v>
      </c>
      <c r="O23" t="s">
        <v>1129</v>
      </c>
      <c r="P23">
        <v>160</v>
      </c>
      <c r="Q23" t="s">
        <v>42</v>
      </c>
      <c r="R23" t="s">
        <v>43</v>
      </c>
      <c r="S23" t="s">
        <v>44</v>
      </c>
      <c r="T23" t="s">
        <v>1130</v>
      </c>
      <c r="U23" t="s">
        <v>46</v>
      </c>
      <c r="V23" s="2">
        <v>45895</v>
      </c>
      <c r="W23" t="s">
        <v>48</v>
      </c>
      <c r="X23" t="s">
        <v>49</v>
      </c>
      <c r="Y23" t="s">
        <v>50</v>
      </c>
      <c r="Z23">
        <v>160</v>
      </c>
      <c r="AA23" t="s">
        <v>52</v>
      </c>
      <c r="AB23" cm="1">
        <f t="array" ref="AB23">IF(OR(COUNTIF(K23, "*FAC.C*")&gt;0, COUNTIF(J23, "*チャージ*")&gt;0, COUNTIF(J23, "*ギフト*")&gt;0), IFERROR(_xlfn.XLOOKUP(B23, $B$1:B22, $AB$1:AB22, 0, 0, -1), 0), IFERROR(ROUND(_xlfn.XLOOKUP(B23, $B$1:B22, $AB$1:AB22, 0, 0, -1) * 0.9 + P23 * 0.1, 0), ""))</f>
        <v>16</v>
      </c>
      <c r="AC23" t="s">
        <v>1087</v>
      </c>
    </row>
    <row r="24" spans="1:29" x14ac:dyDescent="0.2">
      <c r="A24" t="s">
        <v>267</v>
      </c>
      <c r="B24" t="s">
        <v>268</v>
      </c>
      <c r="C24" t="s">
        <v>32</v>
      </c>
      <c r="D24" t="s">
        <v>88</v>
      </c>
      <c r="E24" t="s">
        <v>154</v>
      </c>
      <c r="F24" t="s">
        <v>29</v>
      </c>
      <c r="G24" t="s">
        <v>269</v>
      </c>
      <c r="H24" t="s">
        <v>34</v>
      </c>
      <c r="I24" s="2">
        <v>46115</v>
      </c>
      <c r="J24" t="s">
        <v>270</v>
      </c>
      <c r="K24" t="s">
        <v>271</v>
      </c>
      <c r="L24" t="s">
        <v>137</v>
      </c>
      <c r="M24" t="s">
        <v>272</v>
      </c>
      <c r="N24" t="s">
        <v>115</v>
      </c>
      <c r="O24" t="s">
        <v>273</v>
      </c>
      <c r="P24" t="s">
        <v>41</v>
      </c>
      <c r="Q24" t="s">
        <v>42</v>
      </c>
      <c r="R24" t="s">
        <v>43</v>
      </c>
      <c r="S24" t="s">
        <v>44</v>
      </c>
      <c r="T24" t="s">
        <v>96</v>
      </c>
      <c r="U24" t="s">
        <v>221</v>
      </c>
      <c r="V24" t="s">
        <v>167</v>
      </c>
      <c r="W24" t="s">
        <v>48</v>
      </c>
      <c r="X24" t="s">
        <v>49</v>
      </c>
      <c r="Y24" t="s">
        <v>142</v>
      </c>
      <c r="Z24" t="s">
        <v>51</v>
      </c>
      <c r="AA24" t="s">
        <v>107</v>
      </c>
      <c r="AB24">
        <v>5264</v>
      </c>
      <c r="AC24" t="s">
        <v>85</v>
      </c>
    </row>
    <row r="25" spans="1:29" x14ac:dyDescent="0.2">
      <c r="A25" t="s">
        <v>274</v>
      </c>
      <c r="B25" t="s">
        <v>275</v>
      </c>
      <c r="C25" t="s">
        <v>173</v>
      </c>
      <c r="D25" t="s">
        <v>276</v>
      </c>
      <c r="E25" t="s">
        <v>89</v>
      </c>
      <c r="F25" t="s">
        <v>173</v>
      </c>
      <c r="G25" t="s">
        <v>277</v>
      </c>
      <c r="H25" t="s">
        <v>134</v>
      </c>
      <c r="I25" s="2">
        <v>46115</v>
      </c>
      <c r="J25" s="1">
        <v>0.34773148148148147</v>
      </c>
      <c r="K25" t="s">
        <v>278</v>
      </c>
      <c r="L25" t="s">
        <v>113</v>
      </c>
      <c r="M25" t="s">
        <v>1036</v>
      </c>
      <c r="N25" t="s">
        <v>1182</v>
      </c>
      <c r="O25" t="s">
        <v>1202</v>
      </c>
      <c r="P25">
        <v>800</v>
      </c>
      <c r="Q25" t="s">
        <v>279</v>
      </c>
      <c r="R25" t="s">
        <v>43</v>
      </c>
      <c r="S25" t="s">
        <v>44</v>
      </c>
      <c r="T25" t="s">
        <v>1206</v>
      </c>
      <c r="U25" t="s">
        <v>1207</v>
      </c>
      <c r="V25" s="2">
        <v>44138</v>
      </c>
      <c r="W25" t="s">
        <v>48</v>
      </c>
      <c r="X25">
        <v>1</v>
      </c>
      <c r="Z25" t="s">
        <v>70</v>
      </c>
      <c r="AA25" t="s">
        <v>128</v>
      </c>
      <c r="AB25">
        <v>597</v>
      </c>
      <c r="AC25" t="s">
        <v>1192</v>
      </c>
    </row>
    <row r="26" spans="1:29" x14ac:dyDescent="0.2">
      <c r="A26" t="s">
        <v>281</v>
      </c>
      <c r="B26" t="s">
        <v>282</v>
      </c>
      <c r="C26" t="s">
        <v>173</v>
      </c>
      <c r="D26" t="s">
        <v>283</v>
      </c>
      <c r="E26" t="s">
        <v>284</v>
      </c>
      <c r="F26" t="s">
        <v>145</v>
      </c>
      <c r="G26" t="s">
        <v>285</v>
      </c>
      <c r="H26" t="s">
        <v>59</v>
      </c>
      <c r="I26" s="2">
        <v>46115</v>
      </c>
      <c r="J26" t="s">
        <v>286</v>
      </c>
      <c r="K26" t="s">
        <v>287</v>
      </c>
      <c r="L26" t="s">
        <v>113</v>
      </c>
      <c r="P26">
        <v>30000</v>
      </c>
      <c r="S26" t="s">
        <v>44</v>
      </c>
      <c r="T26" t="s">
        <v>288</v>
      </c>
      <c r="U26" t="s">
        <v>46</v>
      </c>
      <c r="W26" t="s">
        <v>48</v>
      </c>
      <c r="X26" t="s">
        <v>49</v>
      </c>
      <c r="Z26" t="s">
        <v>70</v>
      </c>
      <c r="AA26" t="s">
        <v>128</v>
      </c>
      <c r="AB26">
        <v>35232</v>
      </c>
      <c r="AC26" t="s">
        <v>53</v>
      </c>
    </row>
    <row r="27" spans="1:29" x14ac:dyDescent="0.2">
      <c r="A27" t="s">
        <v>289</v>
      </c>
      <c r="B27" t="s">
        <v>290</v>
      </c>
      <c r="C27" t="s">
        <v>145</v>
      </c>
      <c r="D27" t="s">
        <v>291</v>
      </c>
      <c r="E27" t="s">
        <v>292</v>
      </c>
      <c r="F27" t="s">
        <v>29</v>
      </c>
      <c r="G27" t="s">
        <v>293</v>
      </c>
      <c r="H27" t="s">
        <v>59</v>
      </c>
      <c r="I27" s="2">
        <v>46115</v>
      </c>
      <c r="J27" s="1">
        <v>0.50696759259259261</v>
      </c>
      <c r="K27" t="s">
        <v>294</v>
      </c>
      <c r="L27" t="s">
        <v>295</v>
      </c>
      <c r="M27" t="s">
        <v>38</v>
      </c>
      <c r="N27" t="s">
        <v>1182</v>
      </c>
      <c r="O27" t="s">
        <v>1191</v>
      </c>
      <c r="P27">
        <v>1000</v>
      </c>
      <c r="Q27" t="s">
        <v>42</v>
      </c>
      <c r="R27" t="s">
        <v>43</v>
      </c>
      <c r="S27" t="s">
        <v>44</v>
      </c>
      <c r="T27" t="s">
        <v>1195</v>
      </c>
      <c r="U27" t="s">
        <v>1193</v>
      </c>
      <c r="V27" s="2">
        <v>41731</v>
      </c>
      <c r="W27" t="s">
        <v>48</v>
      </c>
      <c r="X27" t="s">
        <v>49</v>
      </c>
      <c r="Z27">
        <v>16</v>
      </c>
      <c r="AA27" t="s">
        <v>128</v>
      </c>
      <c r="AB27">
        <v>1000</v>
      </c>
      <c r="AC27" t="s">
        <v>1192</v>
      </c>
    </row>
    <row r="28" spans="1:29" x14ac:dyDescent="0.2">
      <c r="A28" t="s">
        <v>298</v>
      </c>
      <c r="B28" t="s">
        <v>299</v>
      </c>
      <c r="C28" t="s">
        <v>29</v>
      </c>
      <c r="D28" t="s">
        <v>300</v>
      </c>
      <c r="E28" t="s">
        <v>89</v>
      </c>
      <c r="F28" t="s">
        <v>29</v>
      </c>
      <c r="G28" t="s">
        <v>301</v>
      </c>
      <c r="H28" t="s">
        <v>59</v>
      </c>
      <c r="I28" s="2">
        <v>46115</v>
      </c>
      <c r="J28" t="s">
        <v>302</v>
      </c>
      <c r="K28" t="s">
        <v>303</v>
      </c>
      <c r="L28" t="s">
        <v>125</v>
      </c>
      <c r="M28" t="s">
        <v>138</v>
      </c>
      <c r="N28" t="s">
        <v>39</v>
      </c>
      <c r="O28" t="s">
        <v>304</v>
      </c>
      <c r="P28" t="s">
        <v>41</v>
      </c>
      <c r="Q28" t="s">
        <v>42</v>
      </c>
      <c r="R28" t="s">
        <v>43</v>
      </c>
      <c r="S28" t="s">
        <v>44</v>
      </c>
      <c r="T28" t="s">
        <v>305</v>
      </c>
      <c r="U28" t="s">
        <v>46</v>
      </c>
      <c r="V28" t="s">
        <v>167</v>
      </c>
      <c r="W28" t="s">
        <v>48</v>
      </c>
      <c r="X28" t="s">
        <v>49</v>
      </c>
      <c r="Y28" t="s">
        <v>82</v>
      </c>
      <c r="Z28" t="s">
        <v>83</v>
      </c>
      <c r="AA28" t="s">
        <v>84</v>
      </c>
      <c r="AB28">
        <v>5491</v>
      </c>
      <c r="AC28" t="s">
        <v>53</v>
      </c>
    </row>
    <row r="29" spans="1:29" x14ac:dyDescent="0.2">
      <c r="A29" t="s">
        <v>306</v>
      </c>
      <c r="B29" t="s">
        <v>307</v>
      </c>
      <c r="C29" t="s">
        <v>29</v>
      </c>
      <c r="D29" t="s">
        <v>308</v>
      </c>
      <c r="E29" t="s">
        <v>309</v>
      </c>
      <c r="F29" t="s">
        <v>145</v>
      </c>
      <c r="G29" t="s">
        <v>310</v>
      </c>
      <c r="H29" t="s">
        <v>77</v>
      </c>
      <c r="I29" s="2">
        <v>46115</v>
      </c>
      <c r="J29" t="s">
        <v>311</v>
      </c>
      <c r="K29" t="s">
        <v>312</v>
      </c>
      <c r="L29" t="s">
        <v>1126</v>
      </c>
      <c r="M29" t="s">
        <v>1071</v>
      </c>
      <c r="N29" t="s">
        <v>1072</v>
      </c>
      <c r="O29" t="s">
        <v>1150</v>
      </c>
      <c r="P29">
        <v>10000</v>
      </c>
      <c r="Q29" t="s">
        <v>42</v>
      </c>
      <c r="R29" t="s">
        <v>43</v>
      </c>
      <c r="S29" t="s">
        <v>44</v>
      </c>
      <c r="T29" t="s">
        <v>313</v>
      </c>
      <c r="U29" t="s">
        <v>221</v>
      </c>
      <c r="V29" s="2">
        <v>44836</v>
      </c>
      <c r="W29" t="s">
        <v>48</v>
      </c>
      <c r="X29" t="s">
        <v>49</v>
      </c>
      <c r="Y29" t="s">
        <v>82</v>
      </c>
      <c r="Z29">
        <v>16</v>
      </c>
      <c r="AA29" t="s">
        <v>84</v>
      </c>
      <c r="AB29">
        <v>6843</v>
      </c>
      <c r="AC29" t="s">
        <v>53</v>
      </c>
    </row>
    <row r="30" spans="1:29" x14ac:dyDescent="0.2">
      <c r="A30" t="s">
        <v>314</v>
      </c>
      <c r="B30" t="s">
        <v>315</v>
      </c>
      <c r="C30">
        <v>2</v>
      </c>
      <c r="D30" t="s">
        <v>316</v>
      </c>
      <c r="E30" t="s">
        <v>247</v>
      </c>
      <c r="F30">
        <v>1</v>
      </c>
      <c r="G30" t="s">
        <v>317</v>
      </c>
      <c r="H30" t="s">
        <v>34</v>
      </c>
      <c r="I30" s="2">
        <v>46115</v>
      </c>
      <c r="J30" t="s">
        <v>318</v>
      </c>
      <c r="K30" t="s">
        <v>1136</v>
      </c>
      <c r="L30" t="s">
        <v>1097</v>
      </c>
      <c r="N30" t="s">
        <v>115</v>
      </c>
      <c r="O30" t="s">
        <v>1096</v>
      </c>
      <c r="P30">
        <v>500</v>
      </c>
      <c r="Q30" t="s">
        <v>42</v>
      </c>
      <c r="R30" t="s">
        <v>43</v>
      </c>
      <c r="S30" t="s">
        <v>44</v>
      </c>
      <c r="T30" t="s">
        <v>320</v>
      </c>
      <c r="U30" t="s">
        <v>97</v>
      </c>
      <c r="V30" t="s">
        <v>167</v>
      </c>
      <c r="W30" t="s">
        <v>48</v>
      </c>
      <c r="X30" t="s">
        <v>49</v>
      </c>
      <c r="Z30">
        <v>16</v>
      </c>
      <c r="AA30" t="s">
        <v>1135</v>
      </c>
      <c r="AB30">
        <v>500</v>
      </c>
      <c r="AC30" t="s">
        <v>53</v>
      </c>
    </row>
    <row r="31" spans="1:29" x14ac:dyDescent="0.2">
      <c r="A31" t="s">
        <v>321</v>
      </c>
      <c r="B31" t="s">
        <v>322</v>
      </c>
      <c r="C31" t="s">
        <v>32</v>
      </c>
      <c r="D31" t="s">
        <v>323</v>
      </c>
      <c r="E31" t="s">
        <v>324</v>
      </c>
      <c r="F31" t="s">
        <v>90</v>
      </c>
      <c r="G31" t="s">
        <v>325</v>
      </c>
      <c r="H31" t="s">
        <v>59</v>
      </c>
      <c r="I31" s="2">
        <v>46115</v>
      </c>
      <c r="J31" t="s">
        <v>326</v>
      </c>
      <c r="K31" t="s">
        <v>327</v>
      </c>
      <c r="L31" t="s">
        <v>125</v>
      </c>
      <c r="M31" t="s">
        <v>63</v>
      </c>
      <c r="N31" t="s">
        <v>64</v>
      </c>
      <c r="O31" t="s">
        <v>328</v>
      </c>
      <c r="P31" t="s">
        <v>41</v>
      </c>
      <c r="Q31" t="s">
        <v>42</v>
      </c>
      <c r="R31" t="s">
        <v>43</v>
      </c>
      <c r="S31" t="s">
        <v>44</v>
      </c>
      <c r="T31" t="s">
        <v>329</v>
      </c>
      <c r="U31" t="s">
        <v>221</v>
      </c>
      <c r="V31" t="s">
        <v>167</v>
      </c>
      <c r="W31" t="s">
        <v>48</v>
      </c>
      <c r="X31" t="s">
        <v>49</v>
      </c>
      <c r="Y31" t="s">
        <v>82</v>
      </c>
      <c r="Z31" t="s">
        <v>70</v>
      </c>
      <c r="AA31" t="s">
        <v>128</v>
      </c>
      <c r="AB31">
        <v>8497</v>
      </c>
      <c r="AC31" t="s">
        <v>53</v>
      </c>
    </row>
    <row r="32" spans="1:29" x14ac:dyDescent="0.2">
      <c r="A32" t="s">
        <v>330</v>
      </c>
      <c r="B32" t="s">
        <v>331</v>
      </c>
      <c r="C32" t="s">
        <v>29</v>
      </c>
      <c r="D32" t="s">
        <v>56</v>
      </c>
      <c r="E32" t="s">
        <v>332</v>
      </c>
      <c r="F32" t="s">
        <v>32</v>
      </c>
      <c r="G32" t="s">
        <v>333</v>
      </c>
      <c r="H32" t="s">
        <v>77</v>
      </c>
      <c r="I32" s="2">
        <v>46116</v>
      </c>
      <c r="J32" t="s">
        <v>335</v>
      </c>
      <c r="K32" t="s">
        <v>1049</v>
      </c>
      <c r="L32" t="s">
        <v>137</v>
      </c>
      <c r="N32" t="s">
        <v>115</v>
      </c>
      <c r="O32" t="s">
        <v>1054</v>
      </c>
      <c r="P32">
        <v>0</v>
      </c>
      <c r="Q32" t="s">
        <v>42</v>
      </c>
      <c r="R32" t="s">
        <v>43</v>
      </c>
      <c r="S32" t="s">
        <v>44</v>
      </c>
      <c r="T32" t="s">
        <v>67</v>
      </c>
      <c r="U32" t="s">
        <v>68</v>
      </c>
      <c r="V32" s="2"/>
      <c r="W32" t="s">
        <v>48</v>
      </c>
      <c r="X32" t="s">
        <v>49</v>
      </c>
      <c r="Y32" t="s">
        <v>142</v>
      </c>
      <c r="Z32" t="s">
        <v>83</v>
      </c>
      <c r="AA32" t="s">
        <v>1048</v>
      </c>
      <c r="AB32">
        <v>787</v>
      </c>
      <c r="AC32" t="s">
        <v>1045</v>
      </c>
    </row>
    <row r="33" spans="1:29" x14ac:dyDescent="0.2">
      <c r="A33" t="s">
        <v>336</v>
      </c>
      <c r="B33" t="s">
        <v>337</v>
      </c>
      <c r="C33" t="s">
        <v>29</v>
      </c>
      <c r="D33" t="s">
        <v>338</v>
      </c>
      <c r="E33" t="s">
        <v>204</v>
      </c>
      <c r="F33" t="s">
        <v>145</v>
      </c>
      <c r="G33" t="s">
        <v>339</v>
      </c>
      <c r="H33" t="s">
        <v>59</v>
      </c>
      <c r="I33" s="2">
        <v>46116</v>
      </c>
      <c r="J33" s="1">
        <v>0.39597222222222223</v>
      </c>
      <c r="K33" t="s">
        <v>340</v>
      </c>
      <c r="L33" t="s">
        <v>37</v>
      </c>
      <c r="M33" t="s">
        <v>1121</v>
      </c>
      <c r="N33" t="s">
        <v>1106</v>
      </c>
      <c r="O33" t="s">
        <v>1122</v>
      </c>
      <c r="P33">
        <v>15000</v>
      </c>
      <c r="Q33" t="s">
        <v>42</v>
      </c>
      <c r="R33" t="s">
        <v>43</v>
      </c>
      <c r="S33" t="s">
        <v>44</v>
      </c>
      <c r="T33" t="s">
        <v>341</v>
      </c>
      <c r="U33" t="s">
        <v>221</v>
      </c>
      <c r="V33" s="2">
        <v>46084</v>
      </c>
      <c r="W33" t="s">
        <v>48</v>
      </c>
      <c r="X33" t="s">
        <v>49</v>
      </c>
      <c r="Y33" t="s">
        <v>50</v>
      </c>
      <c r="Z33">
        <v>15</v>
      </c>
      <c r="AA33" t="s">
        <v>107</v>
      </c>
      <c r="AB33">
        <v>15000</v>
      </c>
      <c r="AC33" t="s">
        <v>53</v>
      </c>
    </row>
    <row r="34" spans="1:29" x14ac:dyDescent="0.2">
      <c r="A34" t="s">
        <v>342</v>
      </c>
      <c r="B34" t="s">
        <v>343</v>
      </c>
      <c r="C34" t="s">
        <v>145</v>
      </c>
      <c r="D34" t="s">
        <v>100</v>
      </c>
      <c r="E34" t="s">
        <v>284</v>
      </c>
      <c r="F34" t="s">
        <v>145</v>
      </c>
      <c r="G34" t="s">
        <v>344</v>
      </c>
      <c r="H34" t="s">
        <v>34</v>
      </c>
      <c r="I34" s="2">
        <v>46116</v>
      </c>
      <c r="J34" s="1">
        <v>0.88592592592592589</v>
      </c>
      <c r="K34" t="s">
        <v>345</v>
      </c>
      <c r="L34" t="s">
        <v>137</v>
      </c>
      <c r="M34" t="s">
        <v>1145</v>
      </c>
      <c r="N34" t="s">
        <v>115</v>
      </c>
      <c r="O34" t="s">
        <v>1147</v>
      </c>
      <c r="P34">
        <v>3680</v>
      </c>
      <c r="Q34" t="s">
        <v>42</v>
      </c>
      <c r="R34" t="s">
        <v>43</v>
      </c>
      <c r="S34" t="s">
        <v>44</v>
      </c>
      <c r="T34" t="s">
        <v>106</v>
      </c>
      <c r="U34" t="s">
        <v>1131</v>
      </c>
      <c r="V34" s="2">
        <v>44109</v>
      </c>
      <c r="W34" t="s">
        <v>48</v>
      </c>
      <c r="X34" t="s">
        <v>49</v>
      </c>
      <c r="Y34" t="s">
        <v>142</v>
      </c>
      <c r="Z34">
        <v>16</v>
      </c>
      <c r="AA34" t="s">
        <v>128</v>
      </c>
      <c r="AB34" cm="1">
        <f t="array" ref="AB34">IF(OR(COUNTIF(K34, "*FAC.C*")&gt;0, COUNTIF(J34, "*チャージ*")&gt;0, COUNTIF(J34, "*ギフト*")&gt;0), IFERROR(_xlfn.XLOOKUP(B34, $B$1:B33, $AB$1:AB33, 0, 0, -1), 0), IFERROR(ROUND(_xlfn.XLOOKUP(B34, $B$1:B33, $AB$1:AB33, 0, 0, -1) * 0.9 + P34 * 0.1, 0), ""))</f>
        <v>368</v>
      </c>
      <c r="AC34" t="s">
        <v>53</v>
      </c>
    </row>
    <row r="35" spans="1:29" x14ac:dyDescent="0.2">
      <c r="A35" t="s">
        <v>347</v>
      </c>
      <c r="B35" t="s">
        <v>348</v>
      </c>
      <c r="C35" t="s">
        <v>145</v>
      </c>
      <c r="D35" t="s">
        <v>349</v>
      </c>
      <c r="E35" t="s">
        <v>350</v>
      </c>
      <c r="F35" t="s">
        <v>29</v>
      </c>
      <c r="G35" t="s">
        <v>351</v>
      </c>
      <c r="H35" t="s">
        <v>34</v>
      </c>
      <c r="I35" s="2">
        <v>46116</v>
      </c>
      <c r="J35" t="s">
        <v>352</v>
      </c>
      <c r="K35" t="s">
        <v>353</v>
      </c>
      <c r="L35" t="s">
        <v>113</v>
      </c>
      <c r="M35" t="s">
        <v>63</v>
      </c>
      <c r="N35" t="s">
        <v>64</v>
      </c>
      <c r="O35" t="s">
        <v>197</v>
      </c>
      <c r="P35" t="s">
        <v>198</v>
      </c>
      <c r="Q35" t="s">
        <v>42</v>
      </c>
      <c r="R35" t="s">
        <v>43</v>
      </c>
      <c r="S35" t="s">
        <v>44</v>
      </c>
      <c r="T35" t="s">
        <v>354</v>
      </c>
      <c r="U35" t="s">
        <v>221</v>
      </c>
      <c r="V35" t="s">
        <v>257</v>
      </c>
      <c r="W35" t="s">
        <v>48</v>
      </c>
      <c r="X35" t="s">
        <v>49</v>
      </c>
      <c r="Y35" t="s">
        <v>50</v>
      </c>
      <c r="Z35" t="s">
        <v>51</v>
      </c>
      <c r="AA35" t="s">
        <v>52</v>
      </c>
      <c r="AB35">
        <v>5165</v>
      </c>
      <c r="AC35" t="s">
        <v>85</v>
      </c>
    </row>
    <row r="36" spans="1:29" x14ac:dyDescent="0.2">
      <c r="A36" t="s">
        <v>355</v>
      </c>
      <c r="B36" t="s">
        <v>356</v>
      </c>
      <c r="C36" t="s">
        <v>29</v>
      </c>
      <c r="D36" t="s">
        <v>357</v>
      </c>
      <c r="E36" t="s">
        <v>358</v>
      </c>
      <c r="F36" t="s">
        <v>173</v>
      </c>
      <c r="G36" t="s">
        <v>359</v>
      </c>
      <c r="H36" t="s">
        <v>134</v>
      </c>
      <c r="I36" s="2">
        <v>46116</v>
      </c>
      <c r="J36" t="s">
        <v>360</v>
      </c>
      <c r="K36" t="s">
        <v>361</v>
      </c>
      <c r="L36" t="s">
        <v>137</v>
      </c>
      <c r="M36" t="s">
        <v>126</v>
      </c>
      <c r="N36" t="s">
        <v>115</v>
      </c>
      <c r="O36" t="s">
        <v>362</v>
      </c>
      <c r="P36" t="s">
        <v>363</v>
      </c>
      <c r="Q36" t="s">
        <v>42</v>
      </c>
      <c r="R36" t="s">
        <v>43</v>
      </c>
      <c r="S36" t="s">
        <v>44</v>
      </c>
      <c r="T36" t="s">
        <v>364</v>
      </c>
      <c r="U36" t="s">
        <v>46</v>
      </c>
      <c r="V36" t="s">
        <v>257</v>
      </c>
      <c r="W36" t="s">
        <v>48</v>
      </c>
      <c r="X36" t="s">
        <v>49</v>
      </c>
      <c r="Y36" t="s">
        <v>142</v>
      </c>
      <c r="Z36" t="s">
        <v>51</v>
      </c>
      <c r="AA36" t="s">
        <v>107</v>
      </c>
      <c r="AB36">
        <v>6897</v>
      </c>
      <c r="AC36" t="s">
        <v>85</v>
      </c>
    </row>
    <row r="37" spans="1:29" x14ac:dyDescent="0.2">
      <c r="A37" t="s">
        <v>365</v>
      </c>
      <c r="B37" t="s">
        <v>366</v>
      </c>
      <c r="C37" t="s">
        <v>32</v>
      </c>
      <c r="D37" t="s">
        <v>367</v>
      </c>
      <c r="E37" t="s">
        <v>368</v>
      </c>
      <c r="F37" t="s">
        <v>145</v>
      </c>
      <c r="G37" t="s">
        <v>369</v>
      </c>
      <c r="H37" t="s">
        <v>34</v>
      </c>
      <c r="I37" s="2">
        <v>46116</v>
      </c>
      <c r="J37" t="s">
        <v>370</v>
      </c>
      <c r="K37" t="s">
        <v>371</v>
      </c>
      <c r="L37" t="s">
        <v>62</v>
      </c>
      <c r="M37" t="s">
        <v>126</v>
      </c>
      <c r="N37" t="s">
        <v>115</v>
      </c>
      <c r="O37" t="s">
        <v>362</v>
      </c>
      <c r="P37" t="s">
        <v>363</v>
      </c>
      <c r="Q37" t="s">
        <v>42</v>
      </c>
      <c r="R37" t="s">
        <v>43</v>
      </c>
      <c r="S37" t="s">
        <v>44</v>
      </c>
      <c r="T37" t="s">
        <v>372</v>
      </c>
      <c r="U37" t="s">
        <v>68</v>
      </c>
      <c r="V37" t="s">
        <v>257</v>
      </c>
      <c r="W37" t="s">
        <v>48</v>
      </c>
      <c r="X37" t="s">
        <v>49</v>
      </c>
      <c r="Y37" t="s">
        <v>69</v>
      </c>
      <c r="Z37" t="s">
        <v>51</v>
      </c>
      <c r="AA37" t="s">
        <v>52</v>
      </c>
      <c r="AB37">
        <v>2464</v>
      </c>
      <c r="AC37" t="s">
        <v>1009</v>
      </c>
    </row>
    <row r="38" spans="1:29" x14ac:dyDescent="0.2">
      <c r="A38" t="s">
        <v>373</v>
      </c>
      <c r="B38" t="s">
        <v>374</v>
      </c>
      <c r="C38" t="s">
        <v>29</v>
      </c>
      <c r="D38" t="s">
        <v>375</v>
      </c>
      <c r="E38" t="s">
        <v>193</v>
      </c>
      <c r="F38" t="s">
        <v>90</v>
      </c>
      <c r="G38" t="s">
        <v>376</v>
      </c>
      <c r="H38" t="s">
        <v>34</v>
      </c>
      <c r="I38" s="2">
        <v>46116</v>
      </c>
      <c r="J38" t="s">
        <v>377</v>
      </c>
      <c r="K38" t="s">
        <v>378</v>
      </c>
      <c r="L38" t="s">
        <v>113</v>
      </c>
      <c r="M38" t="s">
        <v>126</v>
      </c>
      <c r="N38" t="s">
        <v>115</v>
      </c>
      <c r="O38" t="s">
        <v>127</v>
      </c>
      <c r="P38" t="s">
        <v>41</v>
      </c>
      <c r="Q38" t="s">
        <v>42</v>
      </c>
      <c r="R38" t="s">
        <v>43</v>
      </c>
      <c r="S38" t="s">
        <v>44</v>
      </c>
      <c r="T38" t="s">
        <v>379</v>
      </c>
      <c r="U38" t="s">
        <v>97</v>
      </c>
      <c r="V38" t="s">
        <v>257</v>
      </c>
      <c r="W38" t="s">
        <v>48</v>
      </c>
      <c r="X38" t="s">
        <v>49</v>
      </c>
      <c r="Y38" t="s">
        <v>142</v>
      </c>
      <c r="Z38" t="s">
        <v>83</v>
      </c>
      <c r="AA38" t="s">
        <v>84</v>
      </c>
      <c r="AB38">
        <v>7815</v>
      </c>
      <c r="AC38" t="s">
        <v>85</v>
      </c>
    </row>
    <row r="39" spans="1:29" x14ac:dyDescent="0.2">
      <c r="A39" t="s">
        <v>380</v>
      </c>
      <c r="B39" t="s">
        <v>381</v>
      </c>
      <c r="C39" t="s">
        <v>145</v>
      </c>
      <c r="D39" t="s">
        <v>100</v>
      </c>
      <c r="E39" t="s">
        <v>101</v>
      </c>
      <c r="F39" t="s">
        <v>90</v>
      </c>
      <c r="G39" t="s">
        <v>382</v>
      </c>
      <c r="H39" t="s">
        <v>34</v>
      </c>
      <c r="I39" s="2">
        <v>46116</v>
      </c>
      <c r="J39" t="s">
        <v>383</v>
      </c>
      <c r="K39" t="s">
        <v>384</v>
      </c>
      <c r="L39" t="s">
        <v>62</v>
      </c>
      <c r="M39" t="s">
        <v>126</v>
      </c>
      <c r="N39" t="s">
        <v>115</v>
      </c>
      <c r="O39" t="s">
        <v>362</v>
      </c>
      <c r="P39" t="s">
        <v>363</v>
      </c>
      <c r="Q39" t="s">
        <v>42</v>
      </c>
      <c r="R39" t="s">
        <v>43</v>
      </c>
      <c r="S39" t="s">
        <v>44</v>
      </c>
      <c r="T39" t="s">
        <v>106</v>
      </c>
      <c r="U39" t="s">
        <v>221</v>
      </c>
      <c r="V39" t="s">
        <v>257</v>
      </c>
      <c r="W39" t="s">
        <v>48</v>
      </c>
      <c r="X39" t="s">
        <v>49</v>
      </c>
      <c r="Y39" t="s">
        <v>69</v>
      </c>
      <c r="Z39" t="s">
        <v>70</v>
      </c>
      <c r="AA39" t="s">
        <v>71</v>
      </c>
      <c r="AB39">
        <v>1644</v>
      </c>
      <c r="AC39" t="s">
        <v>85</v>
      </c>
    </row>
    <row r="40" spans="1:29" x14ac:dyDescent="0.2">
      <c r="A40" t="s">
        <v>385</v>
      </c>
      <c r="B40" t="s">
        <v>386</v>
      </c>
      <c r="C40" t="s">
        <v>173</v>
      </c>
      <c r="D40" t="s">
        <v>100</v>
      </c>
      <c r="E40" t="s">
        <v>387</v>
      </c>
      <c r="F40" t="s">
        <v>29</v>
      </c>
      <c r="G40" t="s">
        <v>388</v>
      </c>
      <c r="H40" t="s">
        <v>59</v>
      </c>
      <c r="I40" s="2">
        <v>46116</v>
      </c>
      <c r="J40" t="s">
        <v>389</v>
      </c>
      <c r="K40" t="s">
        <v>390</v>
      </c>
      <c r="L40" t="s">
        <v>137</v>
      </c>
      <c r="M40" t="s">
        <v>250</v>
      </c>
      <c r="N40" t="s">
        <v>115</v>
      </c>
      <c r="O40" t="s">
        <v>251</v>
      </c>
      <c r="P40" t="s">
        <v>41</v>
      </c>
      <c r="Q40" t="s">
        <v>42</v>
      </c>
      <c r="R40" t="s">
        <v>43</v>
      </c>
      <c r="S40" t="s">
        <v>44</v>
      </c>
      <c r="T40" t="s">
        <v>106</v>
      </c>
      <c r="U40" t="s">
        <v>46</v>
      </c>
      <c r="V40" t="s">
        <v>257</v>
      </c>
      <c r="W40" t="s">
        <v>48</v>
      </c>
      <c r="X40" t="s">
        <v>49</v>
      </c>
      <c r="Y40" t="s">
        <v>142</v>
      </c>
      <c r="Z40" t="s">
        <v>51</v>
      </c>
      <c r="AA40" t="s">
        <v>107</v>
      </c>
      <c r="AB40">
        <v>5487</v>
      </c>
      <c r="AC40" t="s">
        <v>53</v>
      </c>
    </row>
    <row r="41" spans="1:29" x14ac:dyDescent="0.2">
      <c r="A41" t="s">
        <v>391</v>
      </c>
      <c r="B41" t="s">
        <v>392</v>
      </c>
      <c r="C41" t="s">
        <v>32</v>
      </c>
      <c r="D41" t="s">
        <v>393</v>
      </c>
      <c r="E41" t="s">
        <v>394</v>
      </c>
      <c r="F41" t="s">
        <v>29</v>
      </c>
      <c r="G41" t="s">
        <v>395</v>
      </c>
      <c r="H41" t="s">
        <v>77</v>
      </c>
      <c r="I41" s="2">
        <v>46116</v>
      </c>
      <c r="J41" t="s">
        <v>396</v>
      </c>
      <c r="K41" t="s">
        <v>397</v>
      </c>
      <c r="L41" t="s">
        <v>1079</v>
      </c>
      <c r="M41" t="s">
        <v>1199</v>
      </c>
      <c r="N41" t="s">
        <v>1182</v>
      </c>
      <c r="O41" t="s">
        <v>1201</v>
      </c>
      <c r="P41">
        <v>1200</v>
      </c>
      <c r="Q41" t="s">
        <v>42</v>
      </c>
      <c r="R41" t="s">
        <v>43</v>
      </c>
      <c r="S41" t="s">
        <v>44</v>
      </c>
      <c r="T41" t="s">
        <v>399</v>
      </c>
      <c r="U41" t="s">
        <v>200</v>
      </c>
      <c r="V41" s="2">
        <v>45933</v>
      </c>
      <c r="W41" t="s">
        <v>48</v>
      </c>
      <c r="X41" t="s">
        <v>49</v>
      </c>
      <c r="Z41">
        <v>16</v>
      </c>
      <c r="AA41" t="s">
        <v>107</v>
      </c>
      <c r="AB41">
        <v>346</v>
      </c>
      <c r="AC41" t="s">
        <v>53</v>
      </c>
    </row>
    <row r="42" spans="1:29" x14ac:dyDescent="0.2">
      <c r="A42" t="s">
        <v>400</v>
      </c>
      <c r="B42" t="s">
        <v>401</v>
      </c>
      <c r="C42" t="s">
        <v>32</v>
      </c>
      <c r="D42" t="s">
        <v>402</v>
      </c>
      <c r="E42" t="s">
        <v>403</v>
      </c>
      <c r="F42" t="s">
        <v>32</v>
      </c>
      <c r="G42" t="s">
        <v>404</v>
      </c>
      <c r="H42" t="s">
        <v>59</v>
      </c>
      <c r="I42" s="2">
        <v>46117</v>
      </c>
      <c r="J42" s="1">
        <v>0.83693287037037034</v>
      </c>
      <c r="K42" t="s">
        <v>406</v>
      </c>
      <c r="L42" t="s">
        <v>125</v>
      </c>
      <c r="M42" t="s">
        <v>1098</v>
      </c>
      <c r="N42" t="s">
        <v>1099</v>
      </c>
      <c r="O42" t="s">
        <v>1108</v>
      </c>
      <c r="P42">
        <v>160</v>
      </c>
      <c r="Q42" t="s">
        <v>42</v>
      </c>
      <c r="R42" t="s">
        <v>43</v>
      </c>
      <c r="S42" t="s">
        <v>44</v>
      </c>
      <c r="T42" t="s">
        <v>407</v>
      </c>
      <c r="U42" t="s">
        <v>200</v>
      </c>
      <c r="V42" s="2">
        <v>41196</v>
      </c>
      <c r="W42" t="s">
        <v>48</v>
      </c>
      <c r="X42" t="s">
        <v>49</v>
      </c>
      <c r="Y42" t="s">
        <v>82</v>
      </c>
      <c r="Z42">
        <v>16</v>
      </c>
      <c r="AA42" t="s">
        <v>1109</v>
      </c>
      <c r="AB42">
        <v>160</v>
      </c>
      <c r="AC42" t="s">
        <v>53</v>
      </c>
    </row>
    <row r="43" spans="1:29" x14ac:dyDescent="0.2">
      <c r="A43" t="s">
        <v>408</v>
      </c>
      <c r="B43" t="s">
        <v>409</v>
      </c>
      <c r="C43">
        <v>3</v>
      </c>
      <c r="D43" t="s">
        <v>203</v>
      </c>
      <c r="E43" t="s">
        <v>70</v>
      </c>
      <c r="F43">
        <v>1</v>
      </c>
      <c r="G43">
        <v>889890743613497</v>
      </c>
      <c r="H43" t="s">
        <v>134</v>
      </c>
      <c r="I43" s="2">
        <v>46117</v>
      </c>
      <c r="J43" s="1">
        <v>0.39842592592592591</v>
      </c>
      <c r="K43" t="s">
        <v>410</v>
      </c>
      <c r="L43" t="s">
        <v>1097</v>
      </c>
      <c r="M43" t="s">
        <v>1167</v>
      </c>
      <c r="N43" t="s">
        <v>1072</v>
      </c>
      <c r="O43" t="s">
        <v>1168</v>
      </c>
      <c r="P43">
        <v>2178</v>
      </c>
      <c r="Q43" t="s">
        <v>42</v>
      </c>
      <c r="R43" t="s">
        <v>43</v>
      </c>
      <c r="S43" t="s">
        <v>44</v>
      </c>
      <c r="T43" t="s">
        <v>210</v>
      </c>
      <c r="U43" t="s">
        <v>200</v>
      </c>
      <c r="V43" s="2">
        <v>45386</v>
      </c>
      <c r="W43" t="s">
        <v>48</v>
      </c>
      <c r="X43" t="s">
        <v>49</v>
      </c>
      <c r="Z43">
        <v>16</v>
      </c>
      <c r="AA43" t="s">
        <v>52</v>
      </c>
      <c r="AB43">
        <v>3554</v>
      </c>
      <c r="AC43" t="s">
        <v>1075</v>
      </c>
    </row>
    <row r="44" spans="1:29" x14ac:dyDescent="0.2">
      <c r="A44" t="s">
        <v>411</v>
      </c>
      <c r="B44" t="s">
        <v>412</v>
      </c>
      <c r="C44" t="s">
        <v>173</v>
      </c>
      <c r="D44" t="s">
        <v>74</v>
      </c>
      <c r="E44" t="s">
        <v>111</v>
      </c>
      <c r="F44" t="s">
        <v>29</v>
      </c>
      <c r="G44" t="s">
        <v>413</v>
      </c>
      <c r="H44" t="s">
        <v>134</v>
      </c>
      <c r="I44" s="2">
        <v>46117</v>
      </c>
      <c r="J44" s="1">
        <v>0.3021875</v>
      </c>
      <c r="K44" t="s">
        <v>414</v>
      </c>
      <c r="L44" t="s">
        <v>1097</v>
      </c>
      <c r="M44" t="s">
        <v>1117</v>
      </c>
      <c r="N44" t="s">
        <v>1077</v>
      </c>
      <c r="O44" t="s">
        <v>1118</v>
      </c>
      <c r="P44" t="s">
        <v>41</v>
      </c>
      <c r="Q44" t="s">
        <v>42</v>
      </c>
      <c r="R44" t="s">
        <v>43</v>
      </c>
      <c r="S44" t="s">
        <v>44</v>
      </c>
      <c r="T44" t="s">
        <v>81</v>
      </c>
      <c r="U44" t="s">
        <v>68</v>
      </c>
      <c r="V44" s="2">
        <v>41424</v>
      </c>
      <c r="W44" t="s">
        <v>48</v>
      </c>
      <c r="X44" t="s">
        <v>49</v>
      </c>
      <c r="Z44">
        <v>16</v>
      </c>
      <c r="AA44" t="s">
        <v>1119</v>
      </c>
      <c r="AB44">
        <v>10000</v>
      </c>
      <c r="AC44" t="s">
        <v>85</v>
      </c>
    </row>
    <row r="45" spans="1:29" x14ac:dyDescent="0.2">
      <c r="A45" t="s">
        <v>415</v>
      </c>
      <c r="B45" t="s">
        <v>416</v>
      </c>
      <c r="C45" t="s">
        <v>29</v>
      </c>
      <c r="D45" t="s">
        <v>417</v>
      </c>
      <c r="E45" t="s">
        <v>350</v>
      </c>
      <c r="F45" t="s">
        <v>32</v>
      </c>
      <c r="G45" t="s">
        <v>418</v>
      </c>
      <c r="H45" t="s">
        <v>34</v>
      </c>
      <c r="I45" s="2">
        <v>46117</v>
      </c>
      <c r="J45" t="s">
        <v>419</v>
      </c>
      <c r="K45" t="s">
        <v>420</v>
      </c>
      <c r="L45" t="s">
        <v>137</v>
      </c>
      <c r="M45" t="s">
        <v>126</v>
      </c>
      <c r="N45" t="s">
        <v>115</v>
      </c>
      <c r="O45" t="s">
        <v>362</v>
      </c>
      <c r="P45" t="s">
        <v>363</v>
      </c>
      <c r="Q45" t="s">
        <v>42</v>
      </c>
      <c r="R45" t="s">
        <v>43</v>
      </c>
      <c r="S45" t="s">
        <v>44</v>
      </c>
      <c r="T45" t="s">
        <v>421</v>
      </c>
      <c r="U45" t="s">
        <v>221</v>
      </c>
      <c r="V45" t="s">
        <v>334</v>
      </c>
      <c r="W45" t="s">
        <v>48</v>
      </c>
      <c r="X45" t="s">
        <v>49</v>
      </c>
      <c r="Y45" t="s">
        <v>142</v>
      </c>
      <c r="Z45" t="s">
        <v>51</v>
      </c>
      <c r="AA45" t="s">
        <v>107</v>
      </c>
      <c r="AB45">
        <v>5460</v>
      </c>
      <c r="AC45" t="s">
        <v>85</v>
      </c>
    </row>
    <row r="46" spans="1:29" x14ac:dyDescent="0.2">
      <c r="A46" t="s">
        <v>422</v>
      </c>
      <c r="B46" t="s">
        <v>423</v>
      </c>
      <c r="C46" t="s">
        <v>173</v>
      </c>
      <c r="D46" t="s">
        <v>56</v>
      </c>
      <c r="E46" t="s">
        <v>424</v>
      </c>
      <c r="F46" t="s">
        <v>173</v>
      </c>
      <c r="G46" t="s">
        <v>425</v>
      </c>
      <c r="H46" t="s">
        <v>34</v>
      </c>
      <c r="I46" s="2">
        <v>46117</v>
      </c>
      <c r="J46" t="s">
        <v>426</v>
      </c>
      <c r="K46" t="s">
        <v>427</v>
      </c>
      <c r="L46" t="s">
        <v>62</v>
      </c>
      <c r="M46" t="s">
        <v>93</v>
      </c>
      <c r="N46" t="s">
        <v>1182</v>
      </c>
      <c r="O46" t="s">
        <v>1202</v>
      </c>
      <c r="P46">
        <v>800</v>
      </c>
      <c r="Q46" t="s">
        <v>42</v>
      </c>
      <c r="R46" t="s">
        <v>43</v>
      </c>
      <c r="S46" t="s">
        <v>44</v>
      </c>
      <c r="T46" t="s">
        <v>67</v>
      </c>
      <c r="U46" t="s">
        <v>46</v>
      </c>
      <c r="V46" s="2">
        <v>45081</v>
      </c>
      <c r="W46" t="s">
        <v>48</v>
      </c>
      <c r="X46" t="s">
        <v>49</v>
      </c>
      <c r="Y46" t="s">
        <v>69</v>
      </c>
      <c r="Z46">
        <v>16</v>
      </c>
      <c r="AA46" t="s">
        <v>107</v>
      </c>
      <c r="AB46">
        <v>465</v>
      </c>
      <c r="AC46" t="s">
        <v>1205</v>
      </c>
    </row>
    <row r="47" spans="1:29" x14ac:dyDescent="0.2">
      <c r="A47" t="s">
        <v>428</v>
      </c>
      <c r="B47" t="s">
        <v>429</v>
      </c>
      <c r="C47">
        <v>3</v>
      </c>
      <c r="D47" t="s">
        <v>430</v>
      </c>
      <c r="E47" t="s">
        <v>431</v>
      </c>
      <c r="F47">
        <v>1</v>
      </c>
      <c r="G47" t="s">
        <v>432</v>
      </c>
      <c r="H47" t="s">
        <v>134</v>
      </c>
      <c r="I47" s="2">
        <v>46117</v>
      </c>
      <c r="J47" s="1">
        <v>0.87153935185185183</v>
      </c>
      <c r="K47" t="s">
        <v>433</v>
      </c>
      <c r="L47" t="s">
        <v>62</v>
      </c>
      <c r="M47" t="s">
        <v>1127</v>
      </c>
      <c r="N47" t="s">
        <v>1182</v>
      </c>
      <c r="O47" t="s">
        <v>1189</v>
      </c>
      <c r="P47">
        <v>2200</v>
      </c>
      <c r="Q47" t="s">
        <v>42</v>
      </c>
      <c r="R47" t="s">
        <v>43</v>
      </c>
      <c r="S47" t="s">
        <v>44</v>
      </c>
      <c r="T47" t="s">
        <v>437</v>
      </c>
      <c r="U47" t="s">
        <v>68</v>
      </c>
      <c r="V47" s="2">
        <v>45657</v>
      </c>
      <c r="W47" t="s">
        <v>48</v>
      </c>
      <c r="X47" t="s">
        <v>49</v>
      </c>
      <c r="Y47" t="s">
        <v>69</v>
      </c>
      <c r="Z47">
        <v>16</v>
      </c>
      <c r="AA47" t="s">
        <v>84</v>
      </c>
      <c r="AB47" cm="1">
        <f t="array" ref="AB47">IF(OR(COUNTIF(K47, "*FAC.C*")&gt;0, COUNTIF(J47, "*チャージ*")&gt;0, COUNTIF(J47, "*ギフト*")&gt;0), IFERROR(_xlfn.XLOOKUP(B47, $B$1:B46, $AB$1:AB46, 0, 0, -1), 0), IFERROR(ROUND(_xlfn.XLOOKUP(B47, $B$1:B46, $AB$1:AB46, 0, 0, -1) * 0.9 + P47 * 0.1, 0), ""))</f>
        <v>220</v>
      </c>
      <c r="AC47" t="s">
        <v>53</v>
      </c>
    </row>
    <row r="48" spans="1:29" x14ac:dyDescent="0.2">
      <c r="A48" t="s">
        <v>438</v>
      </c>
      <c r="B48" t="s">
        <v>1070</v>
      </c>
      <c r="C48" t="s">
        <v>32</v>
      </c>
      <c r="D48" t="s">
        <v>440</v>
      </c>
      <c r="E48" t="s">
        <v>175</v>
      </c>
      <c r="F48" t="s">
        <v>90</v>
      </c>
      <c r="G48" t="s">
        <v>441</v>
      </c>
      <c r="H48" t="s">
        <v>59</v>
      </c>
      <c r="I48" s="2">
        <v>46117</v>
      </c>
      <c r="J48" t="s">
        <v>442</v>
      </c>
      <c r="K48" t="s">
        <v>443</v>
      </c>
      <c r="L48" t="s">
        <v>37</v>
      </c>
      <c r="M48" t="s">
        <v>1071</v>
      </c>
      <c r="N48" t="s">
        <v>1072</v>
      </c>
      <c r="O48" t="s">
        <v>65</v>
      </c>
      <c r="P48" t="s">
        <v>363</v>
      </c>
      <c r="Q48" t="s">
        <v>42</v>
      </c>
      <c r="R48" t="s">
        <v>43</v>
      </c>
      <c r="S48" t="s">
        <v>44</v>
      </c>
      <c r="T48" t="s">
        <v>444</v>
      </c>
      <c r="U48" t="s">
        <v>46</v>
      </c>
      <c r="V48" s="2">
        <v>46070</v>
      </c>
      <c r="W48" t="s">
        <v>48</v>
      </c>
      <c r="X48" t="s">
        <v>49</v>
      </c>
      <c r="Y48" t="s">
        <v>50</v>
      </c>
      <c r="Z48">
        <v>14</v>
      </c>
      <c r="AA48" t="s">
        <v>107</v>
      </c>
      <c r="AB48">
        <v>2020</v>
      </c>
      <c r="AC48" t="s">
        <v>85</v>
      </c>
    </row>
    <row r="49" spans="1:29" x14ac:dyDescent="0.2">
      <c r="A49" t="s">
        <v>445</v>
      </c>
      <c r="B49" t="s">
        <v>446</v>
      </c>
      <c r="C49">
        <v>2</v>
      </c>
      <c r="D49" t="s">
        <v>447</v>
      </c>
      <c r="E49" t="s">
        <v>292</v>
      </c>
      <c r="F49">
        <v>1</v>
      </c>
      <c r="G49" t="s">
        <v>448</v>
      </c>
      <c r="H49" t="s">
        <v>77</v>
      </c>
      <c r="I49" s="2">
        <v>46117</v>
      </c>
      <c r="J49" t="s">
        <v>449</v>
      </c>
      <c r="K49" t="s">
        <v>450</v>
      </c>
      <c r="L49" t="s">
        <v>137</v>
      </c>
      <c r="M49" t="s">
        <v>1186</v>
      </c>
      <c r="N49" t="s">
        <v>115</v>
      </c>
      <c r="O49" t="s">
        <v>1187</v>
      </c>
      <c r="P49">
        <v>160</v>
      </c>
      <c r="Q49" t="s">
        <v>42</v>
      </c>
      <c r="R49" t="s">
        <v>43</v>
      </c>
      <c r="S49" t="s">
        <v>44</v>
      </c>
      <c r="T49" t="s">
        <v>451</v>
      </c>
      <c r="U49" t="s">
        <v>97</v>
      </c>
      <c r="V49" s="2">
        <v>46026</v>
      </c>
      <c r="W49" t="s">
        <v>48</v>
      </c>
      <c r="X49" t="s">
        <v>49</v>
      </c>
      <c r="Y49" t="s">
        <v>142</v>
      </c>
      <c r="Z49">
        <v>16</v>
      </c>
      <c r="AA49" t="s">
        <v>52</v>
      </c>
      <c r="AB49">
        <v>548</v>
      </c>
      <c r="AC49" t="s">
        <v>1184</v>
      </c>
    </row>
    <row r="50" spans="1:29" x14ac:dyDescent="0.2">
      <c r="A50" t="s">
        <v>452</v>
      </c>
      <c r="B50" t="s">
        <v>453</v>
      </c>
      <c r="C50" t="s">
        <v>32</v>
      </c>
      <c r="D50" t="s">
        <v>454</v>
      </c>
      <c r="E50" t="s">
        <v>455</v>
      </c>
      <c r="F50" t="s">
        <v>145</v>
      </c>
      <c r="G50" t="s">
        <v>456</v>
      </c>
      <c r="H50" t="s">
        <v>34</v>
      </c>
      <c r="I50" s="2">
        <v>46117</v>
      </c>
      <c r="J50" t="s">
        <v>457</v>
      </c>
      <c r="K50" t="s">
        <v>458</v>
      </c>
      <c r="L50" t="s">
        <v>62</v>
      </c>
      <c r="M50" t="s">
        <v>434</v>
      </c>
      <c r="N50" t="s">
        <v>115</v>
      </c>
      <c r="O50" t="s">
        <v>459</v>
      </c>
      <c r="P50" t="s">
        <v>41</v>
      </c>
      <c r="Q50" t="s">
        <v>42</v>
      </c>
      <c r="R50" t="s">
        <v>43</v>
      </c>
      <c r="S50" t="s">
        <v>44</v>
      </c>
      <c r="T50" t="s">
        <v>460</v>
      </c>
      <c r="U50" t="s">
        <v>68</v>
      </c>
      <c r="V50" t="s">
        <v>334</v>
      </c>
      <c r="W50" t="s">
        <v>48</v>
      </c>
      <c r="X50" t="s">
        <v>49</v>
      </c>
      <c r="Y50" t="s">
        <v>69</v>
      </c>
      <c r="Z50" t="s">
        <v>70</v>
      </c>
      <c r="AA50" t="s">
        <v>128</v>
      </c>
      <c r="AB50">
        <v>6438</v>
      </c>
      <c r="AC50" t="s">
        <v>85</v>
      </c>
    </row>
    <row r="51" spans="1:29" x14ac:dyDescent="0.2">
      <c r="A51" t="s">
        <v>461</v>
      </c>
      <c r="B51" t="s">
        <v>462</v>
      </c>
      <c r="C51" t="s">
        <v>173</v>
      </c>
      <c r="D51" t="s">
        <v>463</v>
      </c>
      <c r="E51" t="s">
        <v>31</v>
      </c>
      <c r="F51">
        <v>1</v>
      </c>
      <c r="G51" t="s">
        <v>464</v>
      </c>
      <c r="H51" t="s">
        <v>77</v>
      </c>
      <c r="I51" s="2">
        <v>46117</v>
      </c>
      <c r="J51" s="1">
        <v>0.53188657407407403</v>
      </c>
      <c r="K51" t="s">
        <v>466</v>
      </c>
      <c r="L51" t="s">
        <v>62</v>
      </c>
      <c r="M51" t="s">
        <v>1089</v>
      </c>
      <c r="N51" t="s">
        <v>1090</v>
      </c>
      <c r="O51" t="s">
        <v>159</v>
      </c>
      <c r="P51" t="s">
        <v>160</v>
      </c>
      <c r="Q51" t="s">
        <v>42</v>
      </c>
      <c r="R51" t="s">
        <v>43</v>
      </c>
      <c r="S51" t="s">
        <v>44</v>
      </c>
      <c r="T51" t="s">
        <v>1088</v>
      </c>
      <c r="U51" t="s">
        <v>68</v>
      </c>
      <c r="V51" s="2">
        <v>43101</v>
      </c>
      <c r="W51" t="s">
        <v>48</v>
      </c>
      <c r="X51" t="s">
        <v>49</v>
      </c>
      <c r="Y51" t="s">
        <v>69</v>
      </c>
      <c r="Z51" t="s">
        <v>51</v>
      </c>
      <c r="AA51" t="s">
        <v>107</v>
      </c>
      <c r="AB51">
        <v>1577</v>
      </c>
      <c r="AC51" t="s">
        <v>1087</v>
      </c>
    </row>
    <row r="52" spans="1:29" x14ac:dyDescent="0.2">
      <c r="A52" t="s">
        <v>468</v>
      </c>
      <c r="B52" t="s">
        <v>469</v>
      </c>
      <c r="C52">
        <v>1</v>
      </c>
      <c r="D52" t="s">
        <v>470</v>
      </c>
      <c r="E52" t="s">
        <v>471</v>
      </c>
      <c r="F52">
        <v>1</v>
      </c>
      <c r="G52" t="s">
        <v>472</v>
      </c>
      <c r="H52" t="s">
        <v>77</v>
      </c>
      <c r="I52" s="2">
        <v>46118</v>
      </c>
      <c r="J52" s="1">
        <v>0.96530092592592598</v>
      </c>
      <c r="K52" t="s">
        <v>1092</v>
      </c>
      <c r="L52" t="s">
        <v>62</v>
      </c>
      <c r="M52" t="s">
        <v>1095</v>
      </c>
      <c r="N52" t="s">
        <v>115</v>
      </c>
      <c r="O52" t="s">
        <v>1096</v>
      </c>
      <c r="P52">
        <v>200</v>
      </c>
      <c r="Q52" t="s">
        <v>42</v>
      </c>
      <c r="R52" t="s">
        <v>43</v>
      </c>
      <c r="S52" t="s">
        <v>44</v>
      </c>
      <c r="T52" t="s">
        <v>474</v>
      </c>
      <c r="U52" t="s">
        <v>221</v>
      </c>
      <c r="V52" s="2">
        <v>40638</v>
      </c>
      <c r="W52" t="s">
        <v>48</v>
      </c>
      <c r="X52" t="s">
        <v>49</v>
      </c>
      <c r="Y52" t="s">
        <v>69</v>
      </c>
      <c r="Z52">
        <v>14</v>
      </c>
      <c r="AA52" t="s">
        <v>1091</v>
      </c>
      <c r="AB52">
        <v>200</v>
      </c>
      <c r="AC52" t="s">
        <v>85</v>
      </c>
    </row>
    <row r="53" spans="1:29" x14ac:dyDescent="0.2">
      <c r="A53" t="s">
        <v>475</v>
      </c>
      <c r="B53" t="s">
        <v>476</v>
      </c>
      <c r="C53" t="s">
        <v>173</v>
      </c>
      <c r="D53" t="s">
        <v>477</v>
      </c>
      <c r="E53" t="s">
        <v>368</v>
      </c>
      <c r="F53" t="s">
        <v>32</v>
      </c>
      <c r="G53" t="s">
        <v>478</v>
      </c>
      <c r="H53" t="s">
        <v>34</v>
      </c>
      <c r="I53" s="2">
        <v>46118</v>
      </c>
      <c r="J53" t="s">
        <v>479</v>
      </c>
      <c r="K53" t="s">
        <v>480</v>
      </c>
      <c r="L53" t="s">
        <v>113</v>
      </c>
      <c r="M53" t="s">
        <v>104</v>
      </c>
      <c r="N53" t="s">
        <v>39</v>
      </c>
      <c r="O53" t="s">
        <v>187</v>
      </c>
      <c r="P53" t="s">
        <v>188</v>
      </c>
      <c r="Q53" t="s">
        <v>42</v>
      </c>
      <c r="R53" t="s">
        <v>43</v>
      </c>
      <c r="S53" t="s">
        <v>44</v>
      </c>
      <c r="T53" t="s">
        <v>481</v>
      </c>
      <c r="U53" t="s">
        <v>97</v>
      </c>
      <c r="V53" t="s">
        <v>405</v>
      </c>
      <c r="W53" t="s">
        <v>48</v>
      </c>
      <c r="X53" t="s">
        <v>49</v>
      </c>
      <c r="Y53" t="s">
        <v>142</v>
      </c>
      <c r="Z53" t="s">
        <v>70</v>
      </c>
      <c r="AA53" t="s">
        <v>128</v>
      </c>
      <c r="AB53">
        <v>5516</v>
      </c>
      <c r="AC53" t="s">
        <v>85</v>
      </c>
    </row>
    <row r="54" spans="1:29" x14ac:dyDescent="0.2">
      <c r="A54" t="s">
        <v>482</v>
      </c>
      <c r="B54" t="s">
        <v>483</v>
      </c>
      <c r="C54">
        <v>3</v>
      </c>
      <c r="D54" t="s">
        <v>484</v>
      </c>
      <c r="E54">
        <v>75</v>
      </c>
      <c r="F54" t="s">
        <v>173</v>
      </c>
      <c r="G54" t="s">
        <v>485</v>
      </c>
      <c r="H54" t="s">
        <v>34</v>
      </c>
      <c r="I54" s="2">
        <v>46118</v>
      </c>
      <c r="J54" t="s">
        <v>486</v>
      </c>
      <c r="K54" t="s">
        <v>487</v>
      </c>
      <c r="L54" t="s">
        <v>1097</v>
      </c>
      <c r="M54" t="s">
        <v>1159</v>
      </c>
      <c r="N54" t="s">
        <v>1106</v>
      </c>
      <c r="O54" t="s">
        <v>1160</v>
      </c>
      <c r="P54">
        <v>1000</v>
      </c>
      <c r="Q54" t="s">
        <v>42</v>
      </c>
      <c r="R54" t="s">
        <v>43</v>
      </c>
      <c r="S54" t="s">
        <v>44</v>
      </c>
      <c r="T54" t="s">
        <v>489</v>
      </c>
      <c r="U54" t="s">
        <v>200</v>
      </c>
      <c r="V54" t="s">
        <v>405</v>
      </c>
      <c r="W54" t="s">
        <v>48</v>
      </c>
      <c r="X54" t="s">
        <v>49</v>
      </c>
      <c r="Z54" t="s">
        <v>70</v>
      </c>
      <c r="AA54" t="s">
        <v>71</v>
      </c>
      <c r="AB54">
        <v>1000</v>
      </c>
      <c r="AC54" t="s">
        <v>85</v>
      </c>
    </row>
    <row r="55" spans="1:29" x14ac:dyDescent="0.2">
      <c r="A55" t="s">
        <v>490</v>
      </c>
      <c r="B55" t="s">
        <v>491</v>
      </c>
      <c r="C55" t="s">
        <v>145</v>
      </c>
      <c r="D55" t="s">
        <v>131</v>
      </c>
      <c r="E55" t="s">
        <v>492</v>
      </c>
      <c r="F55" t="s">
        <v>145</v>
      </c>
      <c r="G55" t="s">
        <v>493</v>
      </c>
      <c r="H55" t="s">
        <v>34</v>
      </c>
      <c r="I55" s="2">
        <v>46118</v>
      </c>
      <c r="J55" t="s">
        <v>494</v>
      </c>
      <c r="K55" t="s">
        <v>495</v>
      </c>
      <c r="L55" t="s">
        <v>62</v>
      </c>
      <c r="M55" t="s">
        <v>104</v>
      </c>
      <c r="N55" t="s">
        <v>39</v>
      </c>
      <c r="O55" t="s">
        <v>496</v>
      </c>
      <c r="P55" t="s">
        <v>497</v>
      </c>
      <c r="Q55" t="s">
        <v>42</v>
      </c>
      <c r="R55" t="s">
        <v>43</v>
      </c>
      <c r="S55" t="s">
        <v>44</v>
      </c>
      <c r="T55" t="s">
        <v>141</v>
      </c>
      <c r="U55" t="s">
        <v>200</v>
      </c>
      <c r="V55" t="s">
        <v>405</v>
      </c>
      <c r="W55" t="s">
        <v>48</v>
      </c>
      <c r="X55" t="s">
        <v>49</v>
      </c>
      <c r="Y55" t="s">
        <v>69</v>
      </c>
      <c r="Z55" t="s">
        <v>51</v>
      </c>
      <c r="AA55" t="s">
        <v>52</v>
      </c>
      <c r="AB55">
        <v>7846</v>
      </c>
      <c r="AC55" t="s">
        <v>85</v>
      </c>
    </row>
    <row r="56" spans="1:29" x14ac:dyDescent="0.2">
      <c r="A56" t="s">
        <v>498</v>
      </c>
      <c r="B56" t="s">
        <v>499</v>
      </c>
      <c r="C56" t="s">
        <v>145</v>
      </c>
      <c r="D56" t="s">
        <v>500</v>
      </c>
      <c r="E56" t="s">
        <v>247</v>
      </c>
      <c r="F56" t="s">
        <v>145</v>
      </c>
      <c r="G56" t="s">
        <v>501</v>
      </c>
      <c r="H56" t="s">
        <v>34</v>
      </c>
      <c r="I56" s="2">
        <v>46118</v>
      </c>
      <c r="J56" t="s">
        <v>502</v>
      </c>
      <c r="K56" t="s">
        <v>503</v>
      </c>
      <c r="L56" t="s">
        <v>62</v>
      </c>
      <c r="M56" t="s">
        <v>138</v>
      </c>
      <c r="N56" t="s">
        <v>39</v>
      </c>
      <c r="O56" t="s">
        <v>504</v>
      </c>
      <c r="P56" t="s">
        <v>363</v>
      </c>
      <c r="Q56" t="s">
        <v>42</v>
      </c>
      <c r="R56" t="s">
        <v>43</v>
      </c>
      <c r="S56" t="s">
        <v>44</v>
      </c>
      <c r="T56" t="s">
        <v>505</v>
      </c>
      <c r="U56" t="s">
        <v>46</v>
      </c>
      <c r="V56" t="s">
        <v>405</v>
      </c>
      <c r="W56" t="s">
        <v>48</v>
      </c>
      <c r="X56" t="s">
        <v>49</v>
      </c>
      <c r="Y56" t="s">
        <v>69</v>
      </c>
      <c r="Z56" t="s">
        <v>83</v>
      </c>
      <c r="AA56" t="s">
        <v>84</v>
      </c>
      <c r="AB56">
        <v>5738</v>
      </c>
      <c r="AC56" t="s">
        <v>85</v>
      </c>
    </row>
    <row r="57" spans="1:29" x14ac:dyDescent="0.2">
      <c r="A57" t="s">
        <v>506</v>
      </c>
      <c r="B57" t="s">
        <v>507</v>
      </c>
      <c r="C57" t="s">
        <v>29</v>
      </c>
      <c r="D57" t="s">
        <v>88</v>
      </c>
      <c r="E57" t="s">
        <v>31</v>
      </c>
      <c r="F57" t="s">
        <v>90</v>
      </c>
      <c r="G57" t="s">
        <v>508</v>
      </c>
      <c r="H57" t="s">
        <v>134</v>
      </c>
      <c r="I57" s="2">
        <v>46118</v>
      </c>
      <c r="J57" t="s">
        <v>509</v>
      </c>
      <c r="K57" t="s">
        <v>510</v>
      </c>
      <c r="L57" t="s">
        <v>137</v>
      </c>
      <c r="M57" t="s">
        <v>236</v>
      </c>
      <c r="N57" t="s">
        <v>115</v>
      </c>
      <c r="O57" t="s">
        <v>237</v>
      </c>
      <c r="P57" t="s">
        <v>238</v>
      </c>
      <c r="Q57" t="s">
        <v>42</v>
      </c>
      <c r="R57" t="s">
        <v>43</v>
      </c>
      <c r="S57" t="s">
        <v>44</v>
      </c>
      <c r="T57" t="s">
        <v>96</v>
      </c>
      <c r="U57" t="s">
        <v>221</v>
      </c>
      <c r="V57" t="s">
        <v>405</v>
      </c>
      <c r="W57" t="s">
        <v>48</v>
      </c>
      <c r="X57" t="s">
        <v>49</v>
      </c>
      <c r="Y57" t="s">
        <v>142</v>
      </c>
      <c r="Z57" t="s">
        <v>83</v>
      </c>
      <c r="AA57" t="s">
        <v>84</v>
      </c>
      <c r="AB57">
        <v>951</v>
      </c>
      <c r="AC57" t="s">
        <v>53</v>
      </c>
    </row>
    <row r="58" spans="1:29" x14ac:dyDescent="0.2">
      <c r="A58" t="s">
        <v>511</v>
      </c>
      <c r="B58" t="s">
        <v>512</v>
      </c>
      <c r="C58" t="s">
        <v>32</v>
      </c>
      <c r="D58" t="s">
        <v>513</v>
      </c>
      <c r="E58" t="s">
        <v>514</v>
      </c>
      <c r="F58" t="s">
        <v>145</v>
      </c>
      <c r="G58" t="s">
        <v>515</v>
      </c>
      <c r="H58" t="s">
        <v>34</v>
      </c>
      <c r="I58" s="2">
        <v>46118</v>
      </c>
      <c r="J58" t="s">
        <v>516</v>
      </c>
      <c r="K58" t="s">
        <v>517</v>
      </c>
      <c r="L58" t="s">
        <v>125</v>
      </c>
      <c r="M58" t="s">
        <v>518</v>
      </c>
      <c r="N58" t="s">
        <v>39</v>
      </c>
      <c r="O58" t="s">
        <v>519</v>
      </c>
      <c r="P58" t="s">
        <v>41</v>
      </c>
      <c r="Q58" t="s">
        <v>42</v>
      </c>
      <c r="R58" t="s">
        <v>43</v>
      </c>
      <c r="S58" t="s">
        <v>44</v>
      </c>
      <c r="T58" t="s">
        <v>520</v>
      </c>
      <c r="U58" t="s">
        <v>68</v>
      </c>
      <c r="V58" t="s">
        <v>405</v>
      </c>
      <c r="W58" t="s">
        <v>48</v>
      </c>
      <c r="X58" t="s">
        <v>49</v>
      </c>
      <c r="Y58" t="s">
        <v>82</v>
      </c>
      <c r="Z58" t="s">
        <v>83</v>
      </c>
      <c r="AA58" t="s">
        <v>84</v>
      </c>
      <c r="AB58">
        <v>10000</v>
      </c>
      <c r="AC58" t="s">
        <v>53</v>
      </c>
    </row>
    <row r="59" spans="1:29" x14ac:dyDescent="0.2">
      <c r="A59" t="s">
        <v>521</v>
      </c>
      <c r="B59" t="s">
        <v>522</v>
      </c>
      <c r="C59" t="s">
        <v>32</v>
      </c>
      <c r="D59" t="s">
        <v>131</v>
      </c>
      <c r="E59" t="s">
        <v>284</v>
      </c>
      <c r="F59" t="s">
        <v>173</v>
      </c>
      <c r="G59" t="s">
        <v>523</v>
      </c>
      <c r="H59" t="s">
        <v>34</v>
      </c>
      <c r="I59" s="2">
        <v>46118</v>
      </c>
      <c r="J59" t="s">
        <v>524</v>
      </c>
      <c r="K59" t="s">
        <v>525</v>
      </c>
      <c r="L59" t="s">
        <v>526</v>
      </c>
      <c r="M59" t="s">
        <v>138</v>
      </c>
      <c r="N59" t="s">
        <v>39</v>
      </c>
      <c r="O59" t="s">
        <v>139</v>
      </c>
      <c r="P59" t="s">
        <v>140</v>
      </c>
      <c r="Q59" t="s">
        <v>42</v>
      </c>
      <c r="R59" t="s">
        <v>43</v>
      </c>
      <c r="S59" t="s">
        <v>44</v>
      </c>
      <c r="T59" t="s">
        <v>141</v>
      </c>
      <c r="U59" t="s">
        <v>200</v>
      </c>
      <c r="V59" t="s">
        <v>405</v>
      </c>
      <c r="W59" t="s">
        <v>48</v>
      </c>
      <c r="X59" t="s">
        <v>49</v>
      </c>
      <c r="Y59" t="s">
        <v>142</v>
      </c>
      <c r="Z59" t="s">
        <v>51</v>
      </c>
      <c r="AA59" t="s">
        <v>107</v>
      </c>
      <c r="AB59">
        <v>1480</v>
      </c>
      <c r="AC59" t="s">
        <v>85</v>
      </c>
    </row>
    <row r="60" spans="1:29" x14ac:dyDescent="0.2">
      <c r="A60" t="s">
        <v>527</v>
      </c>
      <c r="B60" t="s">
        <v>528</v>
      </c>
      <c r="C60" t="s">
        <v>32</v>
      </c>
      <c r="D60" t="s">
        <v>88</v>
      </c>
      <c r="E60" t="s">
        <v>529</v>
      </c>
      <c r="F60" t="s">
        <v>32</v>
      </c>
      <c r="G60" t="s">
        <v>530</v>
      </c>
      <c r="H60" t="s">
        <v>59</v>
      </c>
      <c r="I60" s="2">
        <v>46118</v>
      </c>
      <c r="J60" t="s">
        <v>531</v>
      </c>
      <c r="K60" t="s">
        <v>532</v>
      </c>
      <c r="L60" t="s">
        <v>295</v>
      </c>
      <c r="M60" t="s">
        <v>236</v>
      </c>
      <c r="N60" t="s">
        <v>115</v>
      </c>
      <c r="O60" t="s">
        <v>346</v>
      </c>
      <c r="P60" t="s">
        <v>117</v>
      </c>
      <c r="Q60" t="s">
        <v>42</v>
      </c>
      <c r="R60" t="s">
        <v>43</v>
      </c>
      <c r="S60" t="s">
        <v>44</v>
      </c>
      <c r="T60" t="s">
        <v>96</v>
      </c>
      <c r="U60" t="s">
        <v>68</v>
      </c>
      <c r="V60" t="s">
        <v>405</v>
      </c>
      <c r="W60" t="s">
        <v>48</v>
      </c>
      <c r="X60" t="s">
        <v>49</v>
      </c>
      <c r="Y60" t="s">
        <v>142</v>
      </c>
      <c r="Z60" t="s">
        <v>51</v>
      </c>
      <c r="AA60" t="s">
        <v>107</v>
      </c>
      <c r="AB60">
        <v>916</v>
      </c>
      <c r="AC60" t="s">
        <v>85</v>
      </c>
    </row>
    <row r="61" spans="1:29" x14ac:dyDescent="0.2">
      <c r="A61" t="s">
        <v>533</v>
      </c>
      <c r="B61" t="s">
        <v>534</v>
      </c>
      <c r="C61">
        <v>1</v>
      </c>
      <c r="D61" t="s">
        <v>535</v>
      </c>
      <c r="E61" t="s">
        <v>51</v>
      </c>
      <c r="F61">
        <v>1</v>
      </c>
      <c r="G61" t="s">
        <v>536</v>
      </c>
      <c r="I61" s="2">
        <v>46118</v>
      </c>
      <c r="J61" s="1">
        <v>0.8298726851851852</v>
      </c>
      <c r="K61" t="s">
        <v>537</v>
      </c>
      <c r="L61" t="s">
        <v>538</v>
      </c>
      <c r="M61" t="s">
        <v>1044</v>
      </c>
      <c r="N61" t="s">
        <v>115</v>
      </c>
      <c r="O61" t="s">
        <v>319</v>
      </c>
      <c r="P61" t="s">
        <v>41</v>
      </c>
      <c r="Q61" t="s">
        <v>42</v>
      </c>
      <c r="R61" t="s">
        <v>43</v>
      </c>
      <c r="S61" t="s">
        <v>44</v>
      </c>
      <c r="T61" t="s">
        <v>539</v>
      </c>
      <c r="U61" t="s">
        <v>68</v>
      </c>
      <c r="V61" s="2">
        <v>46113</v>
      </c>
      <c r="W61" t="s">
        <v>48</v>
      </c>
      <c r="X61" t="s">
        <v>49</v>
      </c>
      <c r="Z61" t="s">
        <v>51</v>
      </c>
      <c r="AA61" t="s">
        <v>52</v>
      </c>
      <c r="AB61">
        <v>10000</v>
      </c>
      <c r="AC61" t="s">
        <v>1042</v>
      </c>
    </row>
    <row r="62" spans="1:29" x14ac:dyDescent="0.2">
      <c r="A62" t="s">
        <v>540</v>
      </c>
      <c r="B62" t="s">
        <v>541</v>
      </c>
      <c r="C62" t="s">
        <v>29</v>
      </c>
      <c r="D62" t="s">
        <v>88</v>
      </c>
      <c r="E62" t="s">
        <v>471</v>
      </c>
      <c r="F62" t="s">
        <v>173</v>
      </c>
      <c r="G62" t="s">
        <v>542</v>
      </c>
      <c r="H62" t="s">
        <v>34</v>
      </c>
      <c r="I62" s="2">
        <v>46119</v>
      </c>
      <c r="J62" s="1">
        <v>0.84413194444444439</v>
      </c>
      <c r="K62" t="s">
        <v>544</v>
      </c>
      <c r="L62" t="s">
        <v>37</v>
      </c>
      <c r="M62" t="s">
        <v>1148</v>
      </c>
      <c r="N62" t="s">
        <v>1077</v>
      </c>
      <c r="O62" t="s">
        <v>1149</v>
      </c>
      <c r="P62">
        <v>0</v>
      </c>
      <c r="Q62" t="s">
        <v>42</v>
      </c>
      <c r="R62" t="s">
        <v>43</v>
      </c>
      <c r="S62" t="s">
        <v>44</v>
      </c>
      <c r="T62" t="s">
        <v>96</v>
      </c>
      <c r="U62" t="s">
        <v>68</v>
      </c>
      <c r="V62" s="2">
        <v>46119</v>
      </c>
      <c r="W62" t="s">
        <v>48</v>
      </c>
      <c r="X62" t="s">
        <v>49</v>
      </c>
      <c r="Y62" t="s">
        <v>69</v>
      </c>
      <c r="Z62">
        <v>16</v>
      </c>
      <c r="AA62" t="s">
        <v>1104</v>
      </c>
      <c r="AB62" cm="1">
        <f t="array" ref="AB62">IF(OR(COUNTIF(K62, "*FAC.C*")&gt;0, COUNTIF(J62, "*チャージ*")&gt;0, COUNTIF(J62, "*ギフト*")&gt;0), IFERROR(_xlfn.XLOOKUP(B62, $B$1:B61, $AB$1:AB61, 0, 0, -1), 0), IFERROR(ROUND(_xlfn.XLOOKUP(B62, $B$1:B61, $AB$1:AB61, 0, 0, -1) * 0.9 + P62 * 0.1, 0), ""))</f>
        <v>0</v>
      </c>
      <c r="AC62" t="s">
        <v>1075</v>
      </c>
    </row>
    <row r="63" spans="1:29" x14ac:dyDescent="0.2">
      <c r="A63" t="s">
        <v>547</v>
      </c>
      <c r="B63" t="s">
        <v>548</v>
      </c>
      <c r="C63">
        <v>1</v>
      </c>
      <c r="D63" t="s">
        <v>56</v>
      </c>
      <c r="E63" t="s">
        <v>549</v>
      </c>
      <c r="F63">
        <v>1</v>
      </c>
      <c r="G63" t="s">
        <v>550</v>
      </c>
      <c r="H63" t="s">
        <v>59</v>
      </c>
      <c r="I63" s="2">
        <v>46119</v>
      </c>
      <c r="J63" s="1">
        <v>0.90973379629629625</v>
      </c>
      <c r="K63" t="s">
        <v>551</v>
      </c>
      <c r="L63" t="s">
        <v>125</v>
      </c>
      <c r="M63" t="s">
        <v>1102</v>
      </c>
      <c r="N63" t="s">
        <v>1072</v>
      </c>
      <c r="O63" t="s">
        <v>1103</v>
      </c>
      <c r="P63">
        <v>1080</v>
      </c>
      <c r="Q63" t="s">
        <v>42</v>
      </c>
      <c r="R63" t="s">
        <v>43</v>
      </c>
      <c r="S63" t="s">
        <v>44</v>
      </c>
      <c r="T63" t="s">
        <v>67</v>
      </c>
      <c r="U63" t="s">
        <v>46</v>
      </c>
      <c r="V63" t="s">
        <v>473</v>
      </c>
      <c r="W63" t="s">
        <v>48</v>
      </c>
      <c r="X63" t="s">
        <v>49</v>
      </c>
      <c r="Y63" t="s">
        <v>82</v>
      </c>
      <c r="Z63">
        <v>16</v>
      </c>
      <c r="AA63" t="s">
        <v>52</v>
      </c>
      <c r="AB63" cm="1">
        <f t="array" ref="AB63">IF(OR(COUNTIF(K63, "*FAC.C*")&gt;0, COUNTIF(J63, "*チャージ*")&gt;0, COUNTIF(J63, "*ギフト*")&gt;0), IFERROR(_xlfn.XLOOKUP(B63, $B$1:B62, $AB$1:AB62, 0, 0, -1), 0), IFERROR(ROUND(_xlfn.XLOOKUP(B63, $B$1:B62, $AB$1:AB62, 0, 0, -1) * 0.9 + P63 * 0.1, 0), ""))</f>
        <v>108</v>
      </c>
      <c r="AC63" t="s">
        <v>53</v>
      </c>
    </row>
    <row r="64" spans="1:29" x14ac:dyDescent="0.2">
      <c r="A64" t="s">
        <v>552</v>
      </c>
      <c r="B64" t="s">
        <v>553</v>
      </c>
      <c r="C64" t="s">
        <v>29</v>
      </c>
      <c r="D64" t="s">
        <v>554</v>
      </c>
      <c r="E64">
        <v>54</v>
      </c>
      <c r="F64" t="s">
        <v>173</v>
      </c>
      <c r="G64" t="s">
        <v>555</v>
      </c>
      <c r="H64" t="s">
        <v>77</v>
      </c>
      <c r="I64" s="2">
        <v>46119</v>
      </c>
      <c r="J64" t="s">
        <v>556</v>
      </c>
      <c r="K64" t="s">
        <v>557</v>
      </c>
      <c r="L64" t="s">
        <v>137</v>
      </c>
      <c r="N64" t="s">
        <v>1014</v>
      </c>
      <c r="O64" t="s">
        <v>1023</v>
      </c>
      <c r="P64">
        <v>180</v>
      </c>
      <c r="Q64" t="s">
        <v>42</v>
      </c>
      <c r="R64" t="s">
        <v>43</v>
      </c>
      <c r="S64" t="s">
        <v>44</v>
      </c>
      <c r="T64" t="s">
        <v>558</v>
      </c>
      <c r="U64" t="s">
        <v>46</v>
      </c>
      <c r="V64" s="2">
        <v>45757</v>
      </c>
      <c r="W64" t="s">
        <v>48</v>
      </c>
      <c r="X64" t="s">
        <v>49</v>
      </c>
      <c r="Y64" t="s">
        <v>142</v>
      </c>
      <c r="Z64" t="s">
        <v>83</v>
      </c>
      <c r="AA64" t="s">
        <v>84</v>
      </c>
      <c r="AB64">
        <v>180</v>
      </c>
      <c r="AC64" t="s">
        <v>85</v>
      </c>
    </row>
    <row r="65" spans="1:29" x14ac:dyDescent="0.2">
      <c r="A65" t="s">
        <v>559</v>
      </c>
      <c r="B65" t="s">
        <v>560</v>
      </c>
      <c r="C65" t="s">
        <v>29</v>
      </c>
      <c r="D65" t="s">
        <v>203</v>
      </c>
      <c r="E65" t="s">
        <v>204</v>
      </c>
      <c r="F65" t="s">
        <v>145</v>
      </c>
      <c r="G65" t="s">
        <v>561</v>
      </c>
      <c r="H65" t="s">
        <v>77</v>
      </c>
      <c r="I65" s="2">
        <v>46119</v>
      </c>
      <c r="J65" t="s">
        <v>562</v>
      </c>
      <c r="K65" t="s">
        <v>563</v>
      </c>
      <c r="L65" t="s">
        <v>113</v>
      </c>
      <c r="M65" t="s">
        <v>236</v>
      </c>
      <c r="N65" t="s">
        <v>115</v>
      </c>
      <c r="O65" t="s">
        <v>564</v>
      </c>
      <c r="P65" t="s">
        <v>41</v>
      </c>
      <c r="Q65" t="s">
        <v>42</v>
      </c>
      <c r="R65" t="s">
        <v>43</v>
      </c>
      <c r="S65" t="s">
        <v>44</v>
      </c>
      <c r="T65" t="s">
        <v>210</v>
      </c>
      <c r="U65" t="s">
        <v>200</v>
      </c>
      <c r="V65" s="2">
        <v>46119</v>
      </c>
      <c r="W65" t="s">
        <v>48</v>
      </c>
      <c r="X65" t="s">
        <v>49</v>
      </c>
      <c r="Y65" t="s">
        <v>50</v>
      </c>
      <c r="Z65" t="s">
        <v>83</v>
      </c>
      <c r="AA65" t="s">
        <v>84</v>
      </c>
      <c r="AB65">
        <v>10000</v>
      </c>
      <c r="AC65" t="s">
        <v>53</v>
      </c>
    </row>
    <row r="66" spans="1:29" x14ac:dyDescent="0.2">
      <c r="A66" t="s">
        <v>565</v>
      </c>
      <c r="B66" t="s">
        <v>566</v>
      </c>
      <c r="C66" t="s">
        <v>32</v>
      </c>
      <c r="D66" t="s">
        <v>88</v>
      </c>
      <c r="E66" t="s">
        <v>57</v>
      </c>
      <c r="F66" t="s">
        <v>90</v>
      </c>
      <c r="G66" t="s">
        <v>567</v>
      </c>
      <c r="H66" t="s">
        <v>34</v>
      </c>
      <c r="I66" s="2">
        <v>46119</v>
      </c>
      <c r="J66" t="s">
        <v>568</v>
      </c>
      <c r="K66" t="s">
        <v>569</v>
      </c>
      <c r="L66" t="s">
        <v>37</v>
      </c>
      <c r="M66" t="s">
        <v>158</v>
      </c>
      <c r="N66" t="s">
        <v>115</v>
      </c>
      <c r="O66" t="s">
        <v>319</v>
      </c>
      <c r="P66">
        <v>6480</v>
      </c>
      <c r="Q66" t="s">
        <v>42</v>
      </c>
      <c r="R66" t="s">
        <v>43</v>
      </c>
      <c r="S66" t="s">
        <v>44</v>
      </c>
      <c r="T66" t="s">
        <v>96</v>
      </c>
      <c r="U66" t="s">
        <v>97</v>
      </c>
      <c r="V66" s="2">
        <v>45844</v>
      </c>
      <c r="W66" t="s">
        <v>48</v>
      </c>
      <c r="X66" t="s">
        <v>49</v>
      </c>
      <c r="Y66" t="s">
        <v>82</v>
      </c>
      <c r="Z66" t="s">
        <v>70</v>
      </c>
      <c r="AA66" t="s">
        <v>71</v>
      </c>
      <c r="AB66">
        <v>6480</v>
      </c>
      <c r="AC66" t="s">
        <v>53</v>
      </c>
    </row>
    <row r="67" spans="1:29" x14ac:dyDescent="0.2">
      <c r="A67" t="s">
        <v>570</v>
      </c>
      <c r="B67" t="s">
        <v>571</v>
      </c>
      <c r="C67" t="s">
        <v>173</v>
      </c>
      <c r="D67" t="s">
        <v>131</v>
      </c>
      <c r="E67" t="s">
        <v>572</v>
      </c>
      <c r="F67" t="s">
        <v>90</v>
      </c>
      <c r="G67" t="s">
        <v>573</v>
      </c>
      <c r="H67" t="s">
        <v>134</v>
      </c>
      <c r="I67" s="2">
        <v>46119</v>
      </c>
      <c r="J67" t="s">
        <v>574</v>
      </c>
      <c r="K67" t="s">
        <v>575</v>
      </c>
      <c r="L67" t="s">
        <v>62</v>
      </c>
      <c r="M67" t="s">
        <v>217</v>
      </c>
      <c r="N67" t="s">
        <v>115</v>
      </c>
      <c r="O67" t="s">
        <v>218</v>
      </c>
      <c r="P67" t="s">
        <v>219</v>
      </c>
      <c r="Q67" t="s">
        <v>42</v>
      </c>
      <c r="R67" t="s">
        <v>43</v>
      </c>
      <c r="S67" t="s">
        <v>44</v>
      </c>
      <c r="T67" t="s">
        <v>141</v>
      </c>
      <c r="U67" t="s">
        <v>200</v>
      </c>
      <c r="V67" t="s">
        <v>473</v>
      </c>
      <c r="W67" t="s">
        <v>48</v>
      </c>
      <c r="X67" t="s">
        <v>49</v>
      </c>
      <c r="Y67" t="s">
        <v>69</v>
      </c>
      <c r="Z67" t="s">
        <v>51</v>
      </c>
      <c r="AA67" t="s">
        <v>107</v>
      </c>
      <c r="AB67">
        <v>320</v>
      </c>
      <c r="AC67" t="s">
        <v>85</v>
      </c>
    </row>
    <row r="68" spans="1:29" x14ac:dyDescent="0.2">
      <c r="A68" t="s">
        <v>576</v>
      </c>
      <c r="B68" t="s">
        <v>577</v>
      </c>
      <c r="C68">
        <v>2</v>
      </c>
      <c r="D68" t="s">
        <v>578</v>
      </c>
      <c r="E68">
        <v>30</v>
      </c>
      <c r="F68" t="s">
        <v>173</v>
      </c>
      <c r="G68" t="s">
        <v>580</v>
      </c>
      <c r="H68" t="s">
        <v>77</v>
      </c>
      <c r="I68" s="2">
        <v>46119</v>
      </c>
      <c r="J68" t="s">
        <v>581</v>
      </c>
      <c r="K68" t="s">
        <v>582</v>
      </c>
      <c r="L68" t="s">
        <v>113</v>
      </c>
      <c r="M68" t="s">
        <v>250</v>
      </c>
      <c r="N68" t="s">
        <v>1099</v>
      </c>
      <c r="O68" t="s">
        <v>583</v>
      </c>
      <c r="P68" t="s">
        <v>584</v>
      </c>
      <c r="Q68" t="s">
        <v>42</v>
      </c>
      <c r="R68" t="s">
        <v>43</v>
      </c>
      <c r="S68" t="s">
        <v>44</v>
      </c>
      <c r="T68" t="s">
        <v>585</v>
      </c>
      <c r="U68" t="s">
        <v>97</v>
      </c>
      <c r="V68" t="s">
        <v>473</v>
      </c>
      <c r="W68" t="s">
        <v>48</v>
      </c>
      <c r="X68" t="s">
        <v>49</v>
      </c>
      <c r="Z68">
        <v>16</v>
      </c>
      <c r="AA68" t="s">
        <v>84</v>
      </c>
      <c r="AB68">
        <v>2400</v>
      </c>
      <c r="AC68" t="s">
        <v>53</v>
      </c>
    </row>
    <row r="69" spans="1:29" x14ac:dyDescent="0.2">
      <c r="A69" t="s">
        <v>586</v>
      </c>
      <c r="B69" t="s">
        <v>587</v>
      </c>
      <c r="C69" t="s">
        <v>173</v>
      </c>
      <c r="D69" t="s">
        <v>232</v>
      </c>
      <c r="E69" t="s">
        <v>588</v>
      </c>
      <c r="F69" t="s">
        <v>32</v>
      </c>
      <c r="G69" t="s">
        <v>589</v>
      </c>
      <c r="H69" t="s">
        <v>77</v>
      </c>
      <c r="I69" s="2">
        <v>46119</v>
      </c>
      <c r="J69" t="s">
        <v>590</v>
      </c>
      <c r="K69" t="s">
        <v>591</v>
      </c>
      <c r="L69" t="s">
        <v>62</v>
      </c>
      <c r="M69" t="s">
        <v>518</v>
      </c>
      <c r="N69" t="s">
        <v>39</v>
      </c>
      <c r="O69" t="s">
        <v>519</v>
      </c>
      <c r="P69" t="s">
        <v>41</v>
      </c>
      <c r="Q69" t="s">
        <v>42</v>
      </c>
      <c r="R69" t="s">
        <v>43</v>
      </c>
      <c r="S69" t="s">
        <v>44</v>
      </c>
      <c r="T69" t="s">
        <v>239</v>
      </c>
      <c r="U69" t="s">
        <v>200</v>
      </c>
      <c r="V69" t="s">
        <v>473</v>
      </c>
      <c r="W69" t="s">
        <v>48</v>
      </c>
      <c r="X69" t="s">
        <v>49</v>
      </c>
      <c r="Y69" t="s">
        <v>69</v>
      </c>
      <c r="Z69" t="s">
        <v>70</v>
      </c>
      <c r="AA69" t="s">
        <v>128</v>
      </c>
      <c r="AB69" cm="1">
        <f t="array" ref="AB69">IF(OR(COUNTIF(K69, "*FAC.C*")&gt;0, COUNTIF(J69, "*チャージ*")&gt;0, COUNTIF(J69, "*ギフト*")&gt;0), IFERROR(_xlfn.XLOOKUP(B69, $B$1:B68, $AB$1:AB68, 0, 0, -1), 0), IFERROR(ROUND(_xlfn.XLOOKUP(B69, $B$1:B68, $AB$1:AB68, 0, 0, -1) * 0.9 + P69 * 0.1, 0), ""))</f>
        <v>1000</v>
      </c>
      <c r="AC69" t="s">
        <v>53</v>
      </c>
    </row>
    <row r="70" spans="1:29" x14ac:dyDescent="0.2">
      <c r="A70" t="s">
        <v>592</v>
      </c>
      <c r="B70" t="s">
        <v>593</v>
      </c>
      <c r="C70" t="s">
        <v>29</v>
      </c>
      <c r="D70" t="s">
        <v>100</v>
      </c>
      <c r="E70" t="s">
        <v>324</v>
      </c>
      <c r="F70" t="s">
        <v>32</v>
      </c>
      <c r="G70" t="s">
        <v>594</v>
      </c>
      <c r="H70" t="s">
        <v>134</v>
      </c>
      <c r="I70" s="2">
        <v>46119</v>
      </c>
      <c r="J70" t="s">
        <v>595</v>
      </c>
      <c r="K70" t="s">
        <v>596</v>
      </c>
      <c r="L70" t="s">
        <v>137</v>
      </c>
      <c r="M70" t="s">
        <v>1013</v>
      </c>
      <c r="N70" t="s">
        <v>1014</v>
      </c>
      <c r="O70" t="s">
        <v>1015</v>
      </c>
      <c r="P70">
        <v>2200</v>
      </c>
      <c r="Q70" t="s">
        <v>42</v>
      </c>
      <c r="R70" t="s">
        <v>43</v>
      </c>
      <c r="S70" t="s">
        <v>44</v>
      </c>
      <c r="T70" t="s">
        <v>106</v>
      </c>
      <c r="U70" t="s">
        <v>46</v>
      </c>
      <c r="V70" s="2">
        <v>43026</v>
      </c>
      <c r="W70" t="s">
        <v>48</v>
      </c>
      <c r="X70" t="s">
        <v>49</v>
      </c>
      <c r="Y70" t="s">
        <v>142</v>
      </c>
      <c r="Z70" t="s">
        <v>70</v>
      </c>
      <c r="AA70" t="s">
        <v>71</v>
      </c>
      <c r="AB70">
        <v>2200</v>
      </c>
      <c r="AC70" t="s">
        <v>85</v>
      </c>
    </row>
    <row r="71" spans="1:29" x14ac:dyDescent="0.2">
      <c r="A71" t="s">
        <v>597</v>
      </c>
      <c r="B71" t="s">
        <v>598</v>
      </c>
      <c r="C71">
        <v>1</v>
      </c>
      <c r="D71" t="s">
        <v>88</v>
      </c>
      <c r="E71" t="s">
        <v>121</v>
      </c>
      <c r="F71">
        <v>1</v>
      </c>
      <c r="G71" t="s">
        <v>599</v>
      </c>
      <c r="H71" t="s">
        <v>34</v>
      </c>
      <c r="I71" s="2">
        <v>46119</v>
      </c>
      <c r="J71" t="s">
        <v>600</v>
      </c>
      <c r="K71" t="s">
        <v>601</v>
      </c>
      <c r="L71" t="s">
        <v>125</v>
      </c>
      <c r="M71" t="s">
        <v>1046</v>
      </c>
      <c r="N71" t="s">
        <v>115</v>
      </c>
      <c r="O71" t="s">
        <v>564</v>
      </c>
      <c r="P71" t="s">
        <v>41</v>
      </c>
      <c r="Q71" t="s">
        <v>42</v>
      </c>
      <c r="R71" t="s">
        <v>43</v>
      </c>
      <c r="S71" t="s">
        <v>44</v>
      </c>
      <c r="T71" t="s">
        <v>96</v>
      </c>
      <c r="U71" t="s">
        <v>200</v>
      </c>
      <c r="V71" s="2">
        <v>43665</v>
      </c>
      <c r="W71" t="s">
        <v>48</v>
      </c>
      <c r="X71" t="s">
        <v>49</v>
      </c>
      <c r="Y71" t="s">
        <v>82</v>
      </c>
      <c r="Z71" t="s">
        <v>51</v>
      </c>
      <c r="AA71" t="s">
        <v>107</v>
      </c>
      <c r="AB71" cm="1">
        <f t="array" ref="AB71">IF(OR(COUNTIF(K71, "*FAC.C*")&gt;0, COUNTIF(J71, "*チャージ*")&gt;0, COUNTIF(J71, "*ギフト*")&gt;0), IFERROR(_xlfn.XLOOKUP(B71, $B$1:B70, $AB$1:AB70, 0, 0, -1), 0), IFERROR(ROUND(_xlfn.XLOOKUP(B71, $B$1:B70, $AB$1:AB70, 0, 0, -1) * 0.9 + P71 * 0.1, 0), ""))</f>
        <v>1000</v>
      </c>
      <c r="AC71" t="s">
        <v>1045</v>
      </c>
    </row>
    <row r="72" spans="1:29" x14ac:dyDescent="0.2">
      <c r="A72" t="s">
        <v>602</v>
      </c>
      <c r="B72" t="s">
        <v>603</v>
      </c>
      <c r="C72">
        <v>3</v>
      </c>
      <c r="D72" t="s">
        <v>604</v>
      </c>
      <c r="E72" t="s">
        <v>204</v>
      </c>
      <c r="F72">
        <v>3</v>
      </c>
      <c r="G72" t="s">
        <v>605</v>
      </c>
      <c r="H72" t="s">
        <v>59</v>
      </c>
      <c r="I72" s="2">
        <v>46120</v>
      </c>
      <c r="J72" s="1">
        <v>0.34734953703703703</v>
      </c>
      <c r="K72" t="s">
        <v>608</v>
      </c>
      <c r="L72" t="s">
        <v>1079</v>
      </c>
      <c r="M72" t="s">
        <v>38</v>
      </c>
      <c r="N72" t="s">
        <v>39</v>
      </c>
      <c r="O72" t="s">
        <v>228</v>
      </c>
      <c r="P72" t="s">
        <v>160</v>
      </c>
      <c r="Q72" t="s">
        <v>42</v>
      </c>
      <c r="R72" t="s">
        <v>43</v>
      </c>
      <c r="S72" t="s">
        <v>44</v>
      </c>
      <c r="T72" t="s">
        <v>609</v>
      </c>
      <c r="U72" t="s">
        <v>221</v>
      </c>
      <c r="V72" s="2">
        <v>41736</v>
      </c>
      <c r="W72" t="s">
        <v>48</v>
      </c>
      <c r="X72" t="s">
        <v>49</v>
      </c>
      <c r="Z72">
        <v>15</v>
      </c>
      <c r="AA72" t="s">
        <v>1154</v>
      </c>
      <c r="AB72">
        <v>1640</v>
      </c>
      <c r="AC72" t="s">
        <v>1087</v>
      </c>
    </row>
    <row r="73" spans="1:29" x14ac:dyDescent="0.2">
      <c r="A73" t="s">
        <v>610</v>
      </c>
      <c r="B73" t="s">
        <v>611</v>
      </c>
      <c r="C73" t="s">
        <v>173</v>
      </c>
      <c r="D73" t="s">
        <v>612</v>
      </c>
      <c r="E73" t="s">
        <v>31</v>
      </c>
      <c r="F73" t="s">
        <v>173</v>
      </c>
      <c r="G73" t="s">
        <v>613</v>
      </c>
      <c r="H73" t="s">
        <v>134</v>
      </c>
      <c r="I73" s="2">
        <v>46120</v>
      </c>
      <c r="J73" s="1">
        <v>0.83037037037037043</v>
      </c>
      <c r="K73" t="s">
        <v>615</v>
      </c>
      <c r="L73" t="s">
        <v>137</v>
      </c>
      <c r="M73" t="s">
        <v>250</v>
      </c>
      <c r="N73" t="s">
        <v>115</v>
      </c>
      <c r="O73" t="s">
        <v>545</v>
      </c>
      <c r="P73" t="s">
        <v>546</v>
      </c>
      <c r="Q73" t="s">
        <v>42</v>
      </c>
      <c r="R73" t="s">
        <v>43</v>
      </c>
      <c r="S73" t="s">
        <v>44</v>
      </c>
      <c r="T73" t="s">
        <v>616</v>
      </c>
      <c r="U73" t="s">
        <v>97</v>
      </c>
      <c r="V73" s="2">
        <v>46113</v>
      </c>
      <c r="W73" t="s">
        <v>48</v>
      </c>
      <c r="X73" t="s">
        <v>49</v>
      </c>
      <c r="Y73" t="s">
        <v>142</v>
      </c>
      <c r="Z73" t="s">
        <v>51</v>
      </c>
      <c r="AA73" t="s">
        <v>107</v>
      </c>
      <c r="AB73">
        <v>1000</v>
      </c>
      <c r="AC73" t="s">
        <v>85</v>
      </c>
    </row>
    <row r="74" spans="1:29" x14ac:dyDescent="0.2">
      <c r="A74" t="s">
        <v>617</v>
      </c>
      <c r="B74" t="s">
        <v>618</v>
      </c>
      <c r="C74" t="s">
        <v>29</v>
      </c>
      <c r="D74" t="s">
        <v>56</v>
      </c>
      <c r="E74" t="s">
        <v>175</v>
      </c>
      <c r="F74" t="s">
        <v>145</v>
      </c>
      <c r="G74" t="s">
        <v>619</v>
      </c>
      <c r="H74" t="s">
        <v>59</v>
      </c>
      <c r="I74" s="2">
        <v>46120</v>
      </c>
      <c r="J74" t="s">
        <v>620</v>
      </c>
      <c r="K74" t="s">
        <v>621</v>
      </c>
      <c r="L74" t="s">
        <v>37</v>
      </c>
      <c r="M74" t="s">
        <v>158</v>
      </c>
      <c r="N74" t="s">
        <v>115</v>
      </c>
      <c r="O74" t="s">
        <v>159</v>
      </c>
      <c r="P74">
        <v>1280</v>
      </c>
      <c r="Q74" t="s">
        <v>42</v>
      </c>
      <c r="R74" t="s">
        <v>43</v>
      </c>
      <c r="S74" t="s">
        <v>44</v>
      </c>
      <c r="T74" t="s">
        <v>67</v>
      </c>
      <c r="U74" t="s">
        <v>46</v>
      </c>
      <c r="V74" s="2">
        <v>46088</v>
      </c>
      <c r="W74" t="s">
        <v>48</v>
      </c>
      <c r="X74" t="s">
        <v>49</v>
      </c>
      <c r="Y74" t="s">
        <v>82</v>
      </c>
      <c r="Z74" t="s">
        <v>70</v>
      </c>
      <c r="AA74" t="s">
        <v>128</v>
      </c>
      <c r="AB74">
        <v>1280</v>
      </c>
      <c r="AC74" t="s">
        <v>85</v>
      </c>
    </row>
    <row r="75" spans="1:29" x14ac:dyDescent="0.2">
      <c r="A75" t="s">
        <v>622</v>
      </c>
      <c r="B75" t="s">
        <v>623</v>
      </c>
      <c r="C75" t="s">
        <v>32</v>
      </c>
      <c r="D75" t="s">
        <v>624</v>
      </c>
      <c r="E75" t="s">
        <v>549</v>
      </c>
      <c r="F75" t="s">
        <v>32</v>
      </c>
      <c r="G75" t="s">
        <v>625</v>
      </c>
      <c r="H75" t="s">
        <v>59</v>
      </c>
      <c r="I75" s="2">
        <v>46120</v>
      </c>
      <c r="J75" t="s">
        <v>626</v>
      </c>
      <c r="K75" t="s">
        <v>627</v>
      </c>
      <c r="L75" t="s">
        <v>62</v>
      </c>
      <c r="M75" t="s">
        <v>217</v>
      </c>
      <c r="N75" t="s">
        <v>115</v>
      </c>
      <c r="O75" t="s">
        <v>488</v>
      </c>
      <c r="P75" t="s">
        <v>41</v>
      </c>
      <c r="Q75" t="s">
        <v>42</v>
      </c>
      <c r="R75" t="s">
        <v>43</v>
      </c>
      <c r="S75" t="s">
        <v>44</v>
      </c>
      <c r="T75" t="s">
        <v>628</v>
      </c>
      <c r="U75" t="s">
        <v>221</v>
      </c>
      <c r="V75" t="s">
        <v>543</v>
      </c>
      <c r="W75" t="s">
        <v>48</v>
      </c>
      <c r="X75" t="s">
        <v>49</v>
      </c>
      <c r="Y75" t="s">
        <v>69</v>
      </c>
      <c r="Z75" t="s">
        <v>51</v>
      </c>
      <c r="AA75" t="s">
        <v>107</v>
      </c>
      <c r="AB75">
        <v>10000</v>
      </c>
      <c r="AC75" t="s">
        <v>53</v>
      </c>
    </row>
    <row r="76" spans="1:29" x14ac:dyDescent="0.2">
      <c r="A76" t="s">
        <v>629</v>
      </c>
      <c r="B76" t="s">
        <v>630</v>
      </c>
      <c r="C76" t="s">
        <v>29</v>
      </c>
      <c r="D76" t="s">
        <v>100</v>
      </c>
      <c r="E76" t="s">
        <v>631</v>
      </c>
      <c r="F76" t="s">
        <v>32</v>
      </c>
      <c r="G76" t="s">
        <v>632</v>
      </c>
      <c r="H76" t="s">
        <v>134</v>
      </c>
      <c r="I76" s="2">
        <v>46120</v>
      </c>
      <c r="J76" t="s">
        <v>633</v>
      </c>
      <c r="K76" t="s">
        <v>634</v>
      </c>
      <c r="L76" t="s">
        <v>113</v>
      </c>
      <c r="M76" t="s">
        <v>217</v>
      </c>
      <c r="N76" t="s">
        <v>115</v>
      </c>
      <c r="O76" t="s">
        <v>488</v>
      </c>
      <c r="P76" t="s">
        <v>41</v>
      </c>
      <c r="Q76" t="s">
        <v>42</v>
      </c>
      <c r="R76" t="s">
        <v>43</v>
      </c>
      <c r="S76" t="s">
        <v>44</v>
      </c>
      <c r="T76" t="s">
        <v>106</v>
      </c>
      <c r="U76" t="s">
        <v>221</v>
      </c>
      <c r="V76" s="2">
        <v>46073</v>
      </c>
      <c r="W76" t="s">
        <v>48</v>
      </c>
      <c r="X76" t="s">
        <v>49</v>
      </c>
      <c r="Y76" t="s">
        <v>50</v>
      </c>
      <c r="Z76" t="s">
        <v>51</v>
      </c>
      <c r="AA76" t="s">
        <v>52</v>
      </c>
      <c r="AB76">
        <v>10000</v>
      </c>
      <c r="AC76" t="s">
        <v>53</v>
      </c>
    </row>
    <row r="77" spans="1:29" x14ac:dyDescent="0.2">
      <c r="A77" t="s">
        <v>635</v>
      </c>
      <c r="B77" t="s">
        <v>636</v>
      </c>
      <c r="C77" t="s">
        <v>29</v>
      </c>
      <c r="D77" t="s">
        <v>88</v>
      </c>
      <c r="E77" t="s">
        <v>637</v>
      </c>
      <c r="F77" t="s">
        <v>145</v>
      </c>
      <c r="G77" t="s">
        <v>638</v>
      </c>
      <c r="H77" t="s">
        <v>77</v>
      </c>
      <c r="I77" s="2">
        <v>46120</v>
      </c>
      <c r="J77" t="s">
        <v>639</v>
      </c>
      <c r="K77" t="s">
        <v>640</v>
      </c>
      <c r="L77" t="s">
        <v>125</v>
      </c>
      <c r="M77" t="s">
        <v>236</v>
      </c>
      <c r="N77" t="s">
        <v>115</v>
      </c>
      <c r="O77" t="s">
        <v>564</v>
      </c>
      <c r="P77" t="s">
        <v>41</v>
      </c>
      <c r="Q77" t="s">
        <v>42</v>
      </c>
      <c r="R77" t="s">
        <v>43</v>
      </c>
      <c r="S77" t="s">
        <v>44</v>
      </c>
      <c r="T77" t="s">
        <v>96</v>
      </c>
      <c r="U77" t="s">
        <v>221</v>
      </c>
      <c r="V77" t="s">
        <v>543</v>
      </c>
      <c r="W77" t="s">
        <v>48</v>
      </c>
      <c r="X77" t="s">
        <v>49</v>
      </c>
      <c r="Y77" t="s">
        <v>82</v>
      </c>
      <c r="Z77" t="s">
        <v>51</v>
      </c>
      <c r="AA77" t="s">
        <v>107</v>
      </c>
      <c r="AB77">
        <v>6430</v>
      </c>
      <c r="AC77" t="s">
        <v>53</v>
      </c>
    </row>
    <row r="78" spans="1:29" x14ac:dyDescent="0.2">
      <c r="A78" t="s">
        <v>641</v>
      </c>
      <c r="B78" t="s">
        <v>642</v>
      </c>
      <c r="C78" t="s">
        <v>173</v>
      </c>
      <c r="D78" t="s">
        <v>643</v>
      </c>
      <c r="E78" t="s">
        <v>89</v>
      </c>
      <c r="F78">
        <v>1</v>
      </c>
      <c r="G78" t="s">
        <v>644</v>
      </c>
      <c r="H78" t="s">
        <v>34</v>
      </c>
      <c r="I78" s="2">
        <v>46120</v>
      </c>
      <c r="J78" s="1">
        <v>0.38901620370370371</v>
      </c>
      <c r="K78" t="s">
        <v>646</v>
      </c>
      <c r="L78" t="s">
        <v>1097</v>
      </c>
      <c r="M78" t="s">
        <v>1164</v>
      </c>
      <c r="N78" t="s">
        <v>1072</v>
      </c>
      <c r="O78" t="s">
        <v>1165</v>
      </c>
      <c r="P78">
        <v>15400</v>
      </c>
      <c r="Q78" t="s">
        <v>42</v>
      </c>
      <c r="R78" t="s">
        <v>43</v>
      </c>
      <c r="S78" t="s">
        <v>44</v>
      </c>
      <c r="T78" t="s">
        <v>1166</v>
      </c>
      <c r="U78" t="s">
        <v>200</v>
      </c>
      <c r="V78" s="2">
        <v>42488</v>
      </c>
      <c r="W78" t="s">
        <v>48</v>
      </c>
      <c r="X78" t="s">
        <v>49</v>
      </c>
      <c r="Z78">
        <v>16</v>
      </c>
      <c r="AA78" t="s">
        <v>1135</v>
      </c>
      <c r="AB78">
        <v>15400</v>
      </c>
      <c r="AC78" t="s">
        <v>53</v>
      </c>
    </row>
    <row r="79" spans="1:29" x14ac:dyDescent="0.2">
      <c r="A79" t="s">
        <v>647</v>
      </c>
      <c r="B79" t="s">
        <v>648</v>
      </c>
      <c r="C79" t="s">
        <v>32</v>
      </c>
      <c r="D79" t="s">
        <v>649</v>
      </c>
      <c r="E79" t="s">
        <v>471</v>
      </c>
      <c r="F79" t="s">
        <v>90</v>
      </c>
      <c r="G79" t="s">
        <v>650</v>
      </c>
      <c r="H79" t="s">
        <v>34</v>
      </c>
      <c r="I79" s="2">
        <v>46120</v>
      </c>
      <c r="J79" t="s">
        <v>651</v>
      </c>
      <c r="K79" t="s">
        <v>652</v>
      </c>
      <c r="L79" t="s">
        <v>113</v>
      </c>
      <c r="M79" t="s">
        <v>158</v>
      </c>
      <c r="N79" t="s">
        <v>115</v>
      </c>
      <c r="O79" t="s">
        <v>159</v>
      </c>
      <c r="P79" t="s">
        <v>160</v>
      </c>
      <c r="Q79" t="s">
        <v>42</v>
      </c>
      <c r="R79" t="s">
        <v>43</v>
      </c>
      <c r="S79" t="s">
        <v>44</v>
      </c>
      <c r="T79" t="s">
        <v>653</v>
      </c>
      <c r="U79" t="s">
        <v>97</v>
      </c>
      <c r="V79" t="s">
        <v>543</v>
      </c>
      <c r="W79" t="s">
        <v>48</v>
      </c>
      <c r="X79" t="s">
        <v>49</v>
      </c>
      <c r="Y79" t="s">
        <v>142</v>
      </c>
      <c r="Z79" t="s">
        <v>51</v>
      </c>
      <c r="AA79" t="s">
        <v>107</v>
      </c>
      <c r="AB79">
        <v>1367</v>
      </c>
      <c r="AC79" t="s">
        <v>53</v>
      </c>
    </row>
    <row r="80" spans="1:29" x14ac:dyDescent="0.2">
      <c r="A80" t="s">
        <v>654</v>
      </c>
      <c r="B80" t="s">
        <v>655</v>
      </c>
      <c r="C80" t="s">
        <v>29</v>
      </c>
      <c r="D80" t="s">
        <v>656</v>
      </c>
      <c r="E80" t="s">
        <v>147</v>
      </c>
      <c r="F80" t="s">
        <v>145</v>
      </c>
      <c r="G80" t="s">
        <v>657</v>
      </c>
      <c r="H80" t="s">
        <v>77</v>
      </c>
      <c r="I80" s="2">
        <v>46120</v>
      </c>
      <c r="J80" t="s">
        <v>658</v>
      </c>
      <c r="K80" t="s">
        <v>659</v>
      </c>
      <c r="L80" t="s">
        <v>62</v>
      </c>
      <c r="M80" t="s">
        <v>250</v>
      </c>
      <c r="N80" t="s">
        <v>115</v>
      </c>
      <c r="O80" t="s">
        <v>583</v>
      </c>
      <c r="P80" t="s">
        <v>584</v>
      </c>
      <c r="Q80" t="s">
        <v>42</v>
      </c>
      <c r="R80" t="s">
        <v>43</v>
      </c>
      <c r="S80" t="s">
        <v>44</v>
      </c>
      <c r="T80" t="s">
        <v>660</v>
      </c>
      <c r="U80" t="s">
        <v>46</v>
      </c>
      <c r="V80" t="s">
        <v>543</v>
      </c>
      <c r="W80" t="s">
        <v>48</v>
      </c>
      <c r="X80" t="s">
        <v>49</v>
      </c>
      <c r="Y80" t="s">
        <v>69</v>
      </c>
      <c r="Z80" t="s">
        <v>83</v>
      </c>
      <c r="AA80" t="s">
        <v>84</v>
      </c>
      <c r="AB80">
        <v>3216</v>
      </c>
      <c r="AC80" t="s">
        <v>85</v>
      </c>
    </row>
    <row r="81" spans="1:29" x14ac:dyDescent="0.2">
      <c r="A81" t="s">
        <v>661</v>
      </c>
      <c r="B81" t="s">
        <v>662</v>
      </c>
      <c r="C81" t="s">
        <v>173</v>
      </c>
      <c r="D81" t="s">
        <v>88</v>
      </c>
      <c r="E81" t="s">
        <v>350</v>
      </c>
      <c r="F81" t="s">
        <v>173</v>
      </c>
      <c r="G81" t="s">
        <v>663</v>
      </c>
      <c r="H81" t="s">
        <v>134</v>
      </c>
      <c r="I81" s="2">
        <v>46120</v>
      </c>
      <c r="J81" t="s">
        <v>664</v>
      </c>
      <c r="K81" t="s">
        <v>665</v>
      </c>
      <c r="L81" t="s">
        <v>125</v>
      </c>
      <c r="M81" t="s">
        <v>1085</v>
      </c>
      <c r="N81" t="s">
        <v>115</v>
      </c>
      <c r="O81" t="s">
        <v>666</v>
      </c>
      <c r="P81" t="s">
        <v>41</v>
      </c>
      <c r="Q81" t="s">
        <v>42</v>
      </c>
      <c r="R81" t="s">
        <v>43</v>
      </c>
      <c r="S81" t="s">
        <v>44</v>
      </c>
      <c r="T81" t="s">
        <v>96</v>
      </c>
      <c r="U81" t="s">
        <v>221</v>
      </c>
      <c r="V81" s="2">
        <v>44198</v>
      </c>
      <c r="W81" t="s">
        <v>48</v>
      </c>
      <c r="X81" t="s">
        <v>49</v>
      </c>
      <c r="Y81" t="s">
        <v>82</v>
      </c>
      <c r="Z81">
        <v>14</v>
      </c>
      <c r="AA81" t="s">
        <v>84</v>
      </c>
      <c r="AB81">
        <v>10000</v>
      </c>
      <c r="AC81" t="s">
        <v>53</v>
      </c>
    </row>
    <row r="82" spans="1:29" x14ac:dyDescent="0.2">
      <c r="A82" t="s">
        <v>490</v>
      </c>
      <c r="B82" t="s">
        <v>667</v>
      </c>
      <c r="C82" t="s">
        <v>145</v>
      </c>
      <c r="D82" t="s">
        <v>131</v>
      </c>
      <c r="E82" t="s">
        <v>492</v>
      </c>
      <c r="F82" t="s">
        <v>145</v>
      </c>
      <c r="G82" t="s">
        <v>668</v>
      </c>
      <c r="H82" t="s">
        <v>34</v>
      </c>
      <c r="I82" s="2">
        <v>46121</v>
      </c>
      <c r="J82" t="s">
        <v>670</v>
      </c>
      <c r="K82" t="s">
        <v>671</v>
      </c>
      <c r="L82" t="s">
        <v>37</v>
      </c>
      <c r="M82" t="s">
        <v>104</v>
      </c>
      <c r="N82" t="s">
        <v>39</v>
      </c>
      <c r="O82" t="s">
        <v>187</v>
      </c>
      <c r="P82" t="s">
        <v>188</v>
      </c>
      <c r="Q82" t="s">
        <v>42</v>
      </c>
      <c r="R82" t="s">
        <v>43</v>
      </c>
      <c r="S82" t="s">
        <v>44</v>
      </c>
      <c r="T82" t="s">
        <v>141</v>
      </c>
      <c r="U82" t="s">
        <v>97</v>
      </c>
      <c r="V82" t="s">
        <v>405</v>
      </c>
      <c r="W82" t="s">
        <v>48</v>
      </c>
      <c r="X82" t="s">
        <v>49</v>
      </c>
      <c r="Y82" t="s">
        <v>142</v>
      </c>
      <c r="Z82" t="s">
        <v>51</v>
      </c>
      <c r="AA82" t="s">
        <v>52</v>
      </c>
      <c r="AB82">
        <v>5349</v>
      </c>
      <c r="AC82" t="s">
        <v>85</v>
      </c>
    </row>
    <row r="83" spans="1:29" x14ac:dyDescent="0.2">
      <c r="A83" t="s">
        <v>490</v>
      </c>
      <c r="B83" t="s">
        <v>672</v>
      </c>
      <c r="C83" t="s">
        <v>145</v>
      </c>
      <c r="D83" t="s">
        <v>131</v>
      </c>
      <c r="E83" t="s">
        <v>492</v>
      </c>
      <c r="F83" t="s">
        <v>145</v>
      </c>
      <c r="G83" t="s">
        <v>673</v>
      </c>
      <c r="H83" t="s">
        <v>34</v>
      </c>
      <c r="I83" s="2">
        <v>46121</v>
      </c>
      <c r="J83" t="s">
        <v>674</v>
      </c>
      <c r="K83" t="s">
        <v>675</v>
      </c>
      <c r="L83" t="s">
        <v>62</v>
      </c>
      <c r="M83" t="s">
        <v>104</v>
      </c>
      <c r="N83" t="s">
        <v>39</v>
      </c>
      <c r="O83" t="s">
        <v>496</v>
      </c>
      <c r="P83" t="s">
        <v>497</v>
      </c>
      <c r="Q83" t="s">
        <v>42</v>
      </c>
      <c r="R83" t="s">
        <v>43</v>
      </c>
      <c r="S83" t="s">
        <v>44</v>
      </c>
      <c r="T83" t="s">
        <v>141</v>
      </c>
      <c r="U83" t="s">
        <v>46</v>
      </c>
      <c r="V83" t="s">
        <v>405</v>
      </c>
      <c r="W83" t="s">
        <v>48</v>
      </c>
      <c r="X83" t="s">
        <v>49</v>
      </c>
      <c r="Y83" t="s">
        <v>69</v>
      </c>
      <c r="Z83" t="s">
        <v>51</v>
      </c>
      <c r="AA83" t="s">
        <v>52</v>
      </c>
      <c r="AB83">
        <v>800</v>
      </c>
      <c r="AC83" t="s">
        <v>85</v>
      </c>
    </row>
    <row r="84" spans="1:29" x14ac:dyDescent="0.2">
      <c r="A84" t="s">
        <v>654</v>
      </c>
      <c r="B84" t="s">
        <v>676</v>
      </c>
      <c r="C84" t="s">
        <v>29</v>
      </c>
      <c r="D84" t="s">
        <v>656</v>
      </c>
      <c r="E84" t="s">
        <v>147</v>
      </c>
      <c r="F84" t="s">
        <v>145</v>
      </c>
      <c r="G84" t="s">
        <v>677</v>
      </c>
      <c r="H84" t="s">
        <v>77</v>
      </c>
      <c r="I84" s="2">
        <v>46121</v>
      </c>
      <c r="J84" t="s">
        <v>678</v>
      </c>
      <c r="K84" t="s">
        <v>679</v>
      </c>
      <c r="L84" t="s">
        <v>113</v>
      </c>
      <c r="M84" t="s">
        <v>250</v>
      </c>
      <c r="N84" t="s">
        <v>115</v>
      </c>
      <c r="O84" t="s">
        <v>545</v>
      </c>
      <c r="P84" t="s">
        <v>546</v>
      </c>
      <c r="Q84" t="s">
        <v>42</v>
      </c>
      <c r="R84" t="s">
        <v>43</v>
      </c>
      <c r="S84" t="s">
        <v>44</v>
      </c>
      <c r="T84" t="s">
        <v>660</v>
      </c>
      <c r="U84" t="s">
        <v>221</v>
      </c>
      <c r="V84" t="s">
        <v>543</v>
      </c>
      <c r="W84" t="s">
        <v>48</v>
      </c>
      <c r="X84" t="s">
        <v>49</v>
      </c>
      <c r="Y84" t="s">
        <v>69</v>
      </c>
      <c r="Z84" t="s">
        <v>83</v>
      </c>
      <c r="AA84" t="s">
        <v>84</v>
      </c>
      <c r="AB84">
        <v>1000</v>
      </c>
      <c r="AC84" t="s">
        <v>85</v>
      </c>
    </row>
    <row r="85" spans="1:29" x14ac:dyDescent="0.2">
      <c r="A85" t="s">
        <v>151</v>
      </c>
      <c r="B85" t="s">
        <v>680</v>
      </c>
      <c r="C85" t="s">
        <v>32</v>
      </c>
      <c r="D85" t="s">
        <v>153</v>
      </c>
      <c r="E85" t="s">
        <v>154</v>
      </c>
      <c r="F85" t="s">
        <v>90</v>
      </c>
      <c r="G85" t="s">
        <v>681</v>
      </c>
      <c r="H85" t="s">
        <v>77</v>
      </c>
      <c r="I85" s="2">
        <v>46121</v>
      </c>
      <c r="J85" t="s">
        <v>682</v>
      </c>
      <c r="K85" t="s">
        <v>683</v>
      </c>
      <c r="L85" t="s">
        <v>62</v>
      </c>
      <c r="M85" t="s">
        <v>518</v>
      </c>
      <c r="N85" t="s">
        <v>39</v>
      </c>
      <c r="O85" t="s">
        <v>684</v>
      </c>
      <c r="P85" t="s">
        <v>160</v>
      </c>
      <c r="Q85" t="s">
        <v>42</v>
      </c>
      <c r="R85" t="s">
        <v>43</v>
      </c>
      <c r="S85" t="s">
        <v>44</v>
      </c>
      <c r="T85" t="s">
        <v>161</v>
      </c>
      <c r="U85" t="s">
        <v>68</v>
      </c>
      <c r="V85" s="2">
        <v>46121</v>
      </c>
      <c r="W85" t="s">
        <v>48</v>
      </c>
      <c r="X85" t="s">
        <v>49</v>
      </c>
      <c r="Y85" t="s">
        <v>69</v>
      </c>
      <c r="Z85" t="s">
        <v>70</v>
      </c>
      <c r="AA85" t="s">
        <v>71</v>
      </c>
      <c r="AB85">
        <v>2000</v>
      </c>
      <c r="AC85" t="s">
        <v>53</v>
      </c>
    </row>
    <row r="86" spans="1:29" x14ac:dyDescent="0.2">
      <c r="A86" t="s">
        <v>86</v>
      </c>
      <c r="B86" t="s">
        <v>685</v>
      </c>
      <c r="C86" t="s">
        <v>32</v>
      </c>
      <c r="D86" t="s">
        <v>88</v>
      </c>
      <c r="E86" t="s">
        <v>89</v>
      </c>
      <c r="F86">
        <v>1</v>
      </c>
      <c r="G86" t="s">
        <v>686</v>
      </c>
      <c r="H86" t="s">
        <v>77</v>
      </c>
      <c r="I86" s="2">
        <v>46121</v>
      </c>
      <c r="J86" s="1">
        <v>0.37564814814814818</v>
      </c>
      <c r="K86" t="s">
        <v>688</v>
      </c>
      <c r="L86" t="s">
        <v>80</v>
      </c>
      <c r="M86" t="s">
        <v>1157</v>
      </c>
      <c r="N86" t="s">
        <v>115</v>
      </c>
      <c r="O86" t="s">
        <v>1158</v>
      </c>
      <c r="P86">
        <v>2180</v>
      </c>
      <c r="Q86" t="s">
        <v>42</v>
      </c>
      <c r="R86" t="s">
        <v>43</v>
      </c>
      <c r="S86" t="s">
        <v>44</v>
      </c>
      <c r="T86" t="s">
        <v>96</v>
      </c>
      <c r="U86" t="s">
        <v>221</v>
      </c>
      <c r="V86" s="2">
        <v>46030</v>
      </c>
      <c r="W86" t="s">
        <v>48</v>
      </c>
      <c r="X86" t="s">
        <v>49</v>
      </c>
      <c r="Z86">
        <v>15</v>
      </c>
      <c r="AA86" t="s">
        <v>52</v>
      </c>
      <c r="AB86">
        <v>2180</v>
      </c>
      <c r="AC86" t="s">
        <v>85</v>
      </c>
    </row>
    <row r="87" spans="1:29" x14ac:dyDescent="0.2">
      <c r="A87" t="s">
        <v>482</v>
      </c>
      <c r="B87" t="s">
        <v>689</v>
      </c>
      <c r="C87">
        <v>3</v>
      </c>
      <c r="D87" t="s">
        <v>484</v>
      </c>
      <c r="E87">
        <v>75</v>
      </c>
      <c r="F87" t="s">
        <v>173</v>
      </c>
      <c r="G87" t="s">
        <v>485</v>
      </c>
      <c r="H87" t="s">
        <v>34</v>
      </c>
      <c r="I87" s="2">
        <v>46121</v>
      </c>
      <c r="J87" t="s">
        <v>690</v>
      </c>
      <c r="K87" t="s">
        <v>1162</v>
      </c>
      <c r="L87" t="s">
        <v>1097</v>
      </c>
      <c r="M87" t="s">
        <v>1095</v>
      </c>
      <c r="N87" t="s">
        <v>1077</v>
      </c>
      <c r="O87" t="s">
        <v>1155</v>
      </c>
      <c r="P87">
        <v>1280</v>
      </c>
      <c r="Q87" t="s">
        <v>42</v>
      </c>
      <c r="R87" t="s">
        <v>43</v>
      </c>
      <c r="S87" t="s">
        <v>44</v>
      </c>
      <c r="T87" t="s">
        <v>489</v>
      </c>
      <c r="U87" t="s">
        <v>200</v>
      </c>
      <c r="V87" s="2">
        <v>45387</v>
      </c>
      <c r="W87" t="s">
        <v>48</v>
      </c>
      <c r="X87" t="s">
        <v>49</v>
      </c>
      <c r="Z87" t="s">
        <v>70</v>
      </c>
      <c r="AA87" t="s">
        <v>71</v>
      </c>
      <c r="AB87">
        <v>1280</v>
      </c>
      <c r="AC87" t="s">
        <v>85</v>
      </c>
    </row>
    <row r="88" spans="1:29" x14ac:dyDescent="0.2">
      <c r="A88" t="s">
        <v>98</v>
      </c>
      <c r="B88" t="s">
        <v>691</v>
      </c>
      <c r="C88" t="s">
        <v>29</v>
      </c>
      <c r="D88" t="s">
        <v>100</v>
      </c>
      <c r="E88" t="s">
        <v>101</v>
      </c>
      <c r="F88">
        <v>3</v>
      </c>
      <c r="G88" t="s">
        <v>692</v>
      </c>
      <c r="H88" t="s">
        <v>34</v>
      </c>
      <c r="I88" s="2">
        <v>46121</v>
      </c>
      <c r="J88" t="s">
        <v>693</v>
      </c>
      <c r="K88" t="s">
        <v>694</v>
      </c>
      <c r="L88" t="s">
        <v>113</v>
      </c>
      <c r="M88" t="s">
        <v>114</v>
      </c>
      <c r="N88" t="s">
        <v>1099</v>
      </c>
      <c r="O88" t="s">
        <v>116</v>
      </c>
      <c r="P88" t="s">
        <v>117</v>
      </c>
      <c r="Q88" t="s">
        <v>42</v>
      </c>
      <c r="R88" t="s">
        <v>43</v>
      </c>
      <c r="S88" t="s">
        <v>44</v>
      </c>
      <c r="T88" t="s">
        <v>106</v>
      </c>
      <c r="U88" t="s">
        <v>46</v>
      </c>
      <c r="V88" s="2">
        <v>45306</v>
      </c>
      <c r="W88" t="s">
        <v>48</v>
      </c>
      <c r="X88" t="s">
        <v>49</v>
      </c>
      <c r="Z88">
        <v>16</v>
      </c>
      <c r="AA88" t="s">
        <v>1104</v>
      </c>
      <c r="AB88">
        <v>1600</v>
      </c>
      <c r="AC88" t="s">
        <v>1075</v>
      </c>
    </row>
    <row r="89" spans="1:29" x14ac:dyDescent="0.2">
      <c r="A89" t="s">
        <v>576</v>
      </c>
      <c r="B89" t="s">
        <v>695</v>
      </c>
      <c r="C89">
        <v>2</v>
      </c>
      <c r="D89" t="s">
        <v>578</v>
      </c>
      <c r="E89" t="s">
        <v>579</v>
      </c>
      <c r="F89" t="s">
        <v>173</v>
      </c>
      <c r="G89" t="s">
        <v>696</v>
      </c>
      <c r="H89" t="s">
        <v>77</v>
      </c>
      <c r="I89" s="2">
        <v>46121</v>
      </c>
      <c r="J89" t="s">
        <v>449</v>
      </c>
      <c r="K89" t="s">
        <v>697</v>
      </c>
      <c r="L89" t="s">
        <v>137</v>
      </c>
      <c r="M89" t="s">
        <v>1068</v>
      </c>
      <c r="N89" t="s">
        <v>1028</v>
      </c>
      <c r="O89" t="s">
        <v>1069</v>
      </c>
      <c r="P89">
        <v>650</v>
      </c>
      <c r="Q89" t="s">
        <v>42</v>
      </c>
      <c r="R89" t="s">
        <v>43</v>
      </c>
      <c r="S89" t="s">
        <v>44</v>
      </c>
      <c r="T89" t="s">
        <v>585</v>
      </c>
      <c r="U89" t="s">
        <v>97</v>
      </c>
      <c r="V89" s="2">
        <v>42302</v>
      </c>
      <c r="W89" t="s">
        <v>48</v>
      </c>
      <c r="X89" t="s">
        <v>49</v>
      </c>
      <c r="Y89" t="s">
        <v>142</v>
      </c>
      <c r="Z89" t="s">
        <v>83</v>
      </c>
      <c r="AA89" t="s">
        <v>84</v>
      </c>
      <c r="AB89">
        <v>705</v>
      </c>
      <c r="AC89" t="s">
        <v>53</v>
      </c>
    </row>
    <row r="90" spans="1:29" x14ac:dyDescent="0.2">
      <c r="A90" t="s">
        <v>162</v>
      </c>
      <c r="B90" t="s">
        <v>699</v>
      </c>
      <c r="C90">
        <v>2</v>
      </c>
      <c r="D90" t="s">
        <v>164</v>
      </c>
      <c r="E90" t="s">
        <v>165</v>
      </c>
      <c r="F90">
        <v>1</v>
      </c>
      <c r="G90" t="s">
        <v>700</v>
      </c>
      <c r="H90" t="s">
        <v>34</v>
      </c>
      <c r="I90" s="2">
        <v>46121</v>
      </c>
      <c r="J90" t="s">
        <v>701</v>
      </c>
      <c r="K90" t="s">
        <v>702</v>
      </c>
      <c r="L90" t="s">
        <v>37</v>
      </c>
      <c r="M90" t="s">
        <v>93</v>
      </c>
      <c r="N90" t="s">
        <v>1028</v>
      </c>
      <c r="O90" t="s">
        <v>178</v>
      </c>
      <c r="P90" t="s">
        <v>179</v>
      </c>
      <c r="Q90" t="s">
        <v>42</v>
      </c>
      <c r="R90" t="s">
        <v>43</v>
      </c>
      <c r="S90" t="s">
        <v>44</v>
      </c>
      <c r="T90" t="s">
        <v>170</v>
      </c>
      <c r="U90" t="s">
        <v>46</v>
      </c>
      <c r="V90" s="2">
        <v>45319</v>
      </c>
      <c r="W90" t="s">
        <v>48</v>
      </c>
      <c r="X90" t="s">
        <v>49</v>
      </c>
      <c r="Y90" t="s">
        <v>69</v>
      </c>
      <c r="Z90" t="s">
        <v>83</v>
      </c>
      <c r="AA90" t="s">
        <v>84</v>
      </c>
      <c r="AB90" cm="1">
        <f t="array" ref="AB90">IF(OR(COUNTIF(K90, "*FAC.C*")&gt;0, COUNTIF(J90, "*チャージ*")&gt;0, COUNTIF(J90, "*ギフト*")&gt;0), IFERROR(_xlfn.XLOOKUP(B90, $B$1:B89, $AB$1:AB89, 0, 0, -1), 0), IFERROR(ROUND(_xlfn.XLOOKUP(B90, $B$1:B89, $AB$1:AB89, 0, 0, -1) * 0.9 + P90 * 0.1, 0), ""))</f>
        <v>48</v>
      </c>
      <c r="AC90" t="s">
        <v>1045</v>
      </c>
    </row>
    <row r="91" spans="1:29" x14ac:dyDescent="0.2">
      <c r="A91" t="s">
        <v>143</v>
      </c>
      <c r="B91" t="s">
        <v>703</v>
      </c>
      <c r="C91" t="s">
        <v>145</v>
      </c>
      <c r="D91" t="s">
        <v>146</v>
      </c>
      <c r="E91" t="s">
        <v>147</v>
      </c>
      <c r="F91">
        <v>2</v>
      </c>
      <c r="G91" t="s">
        <v>148</v>
      </c>
      <c r="H91" t="s">
        <v>77</v>
      </c>
      <c r="I91" s="2">
        <v>46121</v>
      </c>
      <c r="J91" s="1">
        <v>0.51396990740740744</v>
      </c>
      <c r="K91" t="s">
        <v>705</v>
      </c>
      <c r="L91" t="s">
        <v>1097</v>
      </c>
      <c r="M91" t="s">
        <v>104</v>
      </c>
      <c r="N91" t="s">
        <v>1099</v>
      </c>
      <c r="O91" t="s">
        <v>1101</v>
      </c>
      <c r="P91">
        <v>980</v>
      </c>
      <c r="S91" t="s">
        <v>44</v>
      </c>
      <c r="T91" t="s">
        <v>150</v>
      </c>
      <c r="U91" t="s">
        <v>97</v>
      </c>
      <c r="V91" t="s">
        <v>606</v>
      </c>
      <c r="W91" t="s">
        <v>48</v>
      </c>
      <c r="X91" t="s">
        <v>49</v>
      </c>
      <c r="Z91">
        <v>16</v>
      </c>
      <c r="AA91" t="s">
        <v>84</v>
      </c>
      <c r="AB91">
        <v>562</v>
      </c>
      <c r="AC91" t="s">
        <v>53</v>
      </c>
    </row>
    <row r="92" spans="1:29" x14ac:dyDescent="0.2">
      <c r="A92" t="s">
        <v>647</v>
      </c>
      <c r="B92" t="s">
        <v>706</v>
      </c>
      <c r="C92" t="s">
        <v>32</v>
      </c>
      <c r="D92" t="s">
        <v>649</v>
      </c>
      <c r="E92">
        <v>35</v>
      </c>
      <c r="F92">
        <v>2</v>
      </c>
      <c r="G92" t="s">
        <v>707</v>
      </c>
      <c r="H92" t="s">
        <v>34</v>
      </c>
      <c r="I92" s="2">
        <v>46122</v>
      </c>
      <c r="J92" s="1">
        <v>0.34734953703703703</v>
      </c>
      <c r="K92" t="s">
        <v>709</v>
      </c>
      <c r="L92" t="s">
        <v>113</v>
      </c>
      <c r="M92" t="s">
        <v>272</v>
      </c>
      <c r="N92" t="s">
        <v>115</v>
      </c>
      <c r="O92" t="s">
        <v>698</v>
      </c>
      <c r="P92" t="s">
        <v>198</v>
      </c>
      <c r="Q92" t="s">
        <v>42</v>
      </c>
      <c r="R92" t="s">
        <v>43</v>
      </c>
      <c r="S92" t="s">
        <v>44</v>
      </c>
      <c r="T92" t="s">
        <v>653</v>
      </c>
      <c r="U92" t="s">
        <v>97</v>
      </c>
      <c r="V92" s="2">
        <v>45756</v>
      </c>
      <c r="W92" t="s">
        <v>48</v>
      </c>
      <c r="X92" t="s">
        <v>49</v>
      </c>
      <c r="Z92" t="s">
        <v>51</v>
      </c>
      <c r="AA92" t="s">
        <v>107</v>
      </c>
      <c r="AB92">
        <v>549</v>
      </c>
      <c r="AC92" t="s">
        <v>53</v>
      </c>
    </row>
    <row r="93" spans="1:29" x14ac:dyDescent="0.2">
      <c r="A93" t="s">
        <v>428</v>
      </c>
      <c r="B93" t="s">
        <v>710</v>
      </c>
      <c r="C93">
        <v>3</v>
      </c>
      <c r="D93" t="s">
        <v>430</v>
      </c>
      <c r="E93" t="s">
        <v>431</v>
      </c>
      <c r="F93">
        <v>1</v>
      </c>
      <c r="G93" t="s">
        <v>432</v>
      </c>
      <c r="H93" t="s">
        <v>134</v>
      </c>
      <c r="I93" s="2">
        <v>46122</v>
      </c>
      <c r="J93" s="1">
        <v>0.89098379629629632</v>
      </c>
      <c r="K93" t="s">
        <v>712</v>
      </c>
      <c r="L93" t="s">
        <v>62</v>
      </c>
      <c r="M93" t="s">
        <v>272</v>
      </c>
      <c r="N93" t="s">
        <v>115</v>
      </c>
      <c r="O93" t="s">
        <v>1180</v>
      </c>
      <c r="P93">
        <v>3680</v>
      </c>
      <c r="Q93" t="s">
        <v>42</v>
      </c>
      <c r="R93" t="s">
        <v>43</v>
      </c>
      <c r="S93" t="s">
        <v>44</v>
      </c>
      <c r="T93" t="s">
        <v>437</v>
      </c>
      <c r="U93" t="s">
        <v>68</v>
      </c>
      <c r="V93" s="2">
        <v>44390</v>
      </c>
      <c r="W93" t="s">
        <v>48</v>
      </c>
      <c r="X93" t="s">
        <v>49</v>
      </c>
      <c r="Y93" t="s">
        <v>69</v>
      </c>
      <c r="Z93">
        <v>16</v>
      </c>
      <c r="AA93" t="s">
        <v>84</v>
      </c>
      <c r="AB93">
        <v>2115</v>
      </c>
      <c r="AC93" t="s">
        <v>53</v>
      </c>
    </row>
    <row r="94" spans="1:29" x14ac:dyDescent="0.2">
      <c r="A94" t="s">
        <v>391</v>
      </c>
      <c r="B94" t="s">
        <v>714</v>
      </c>
      <c r="C94" t="s">
        <v>32</v>
      </c>
      <c r="D94" t="s">
        <v>393</v>
      </c>
      <c r="E94" t="s">
        <v>394</v>
      </c>
      <c r="F94" t="s">
        <v>29</v>
      </c>
      <c r="G94" t="s">
        <v>715</v>
      </c>
      <c r="H94" t="s">
        <v>77</v>
      </c>
      <c r="I94" s="2">
        <v>46122</v>
      </c>
      <c r="J94" t="s">
        <v>556</v>
      </c>
      <c r="K94" t="s">
        <v>716</v>
      </c>
      <c r="L94" t="s">
        <v>125</v>
      </c>
      <c r="M94" t="s">
        <v>93</v>
      </c>
      <c r="N94" t="s">
        <v>39</v>
      </c>
      <c r="O94" t="s">
        <v>178</v>
      </c>
      <c r="P94" t="s">
        <v>179</v>
      </c>
      <c r="Q94" t="s">
        <v>42</v>
      </c>
      <c r="R94" t="s">
        <v>43</v>
      </c>
      <c r="S94" t="s">
        <v>44</v>
      </c>
      <c r="T94" t="s">
        <v>399</v>
      </c>
      <c r="U94" t="s">
        <v>46</v>
      </c>
      <c r="V94" t="s">
        <v>669</v>
      </c>
      <c r="W94" t="s">
        <v>48</v>
      </c>
      <c r="X94" t="s">
        <v>49</v>
      </c>
      <c r="Y94" t="s">
        <v>82</v>
      </c>
      <c r="Z94" t="s">
        <v>51</v>
      </c>
      <c r="AA94" t="s">
        <v>107</v>
      </c>
      <c r="AB94">
        <v>300</v>
      </c>
      <c r="AC94" t="s">
        <v>53</v>
      </c>
    </row>
    <row r="95" spans="1:29" x14ac:dyDescent="0.2">
      <c r="A95" t="s">
        <v>452</v>
      </c>
      <c r="B95" t="s">
        <v>717</v>
      </c>
      <c r="C95" t="s">
        <v>32</v>
      </c>
      <c r="D95" t="s">
        <v>454</v>
      </c>
      <c r="E95" t="s">
        <v>455</v>
      </c>
      <c r="F95" t="s">
        <v>145</v>
      </c>
      <c r="G95" t="s">
        <v>718</v>
      </c>
      <c r="H95" t="s">
        <v>34</v>
      </c>
      <c r="I95" s="2">
        <v>46122</v>
      </c>
      <c r="J95" t="s">
        <v>562</v>
      </c>
      <c r="K95" t="s">
        <v>719</v>
      </c>
      <c r="L95" t="s">
        <v>1120</v>
      </c>
      <c r="M95" t="s">
        <v>1078</v>
      </c>
      <c r="N95" t="s">
        <v>1072</v>
      </c>
      <c r="O95" t="s">
        <v>1181</v>
      </c>
      <c r="P95">
        <v>160</v>
      </c>
      <c r="Q95" t="s">
        <v>42</v>
      </c>
      <c r="R95" t="s">
        <v>43</v>
      </c>
      <c r="S95" t="s">
        <v>44</v>
      </c>
      <c r="T95" t="s">
        <v>460</v>
      </c>
      <c r="U95" t="s">
        <v>46</v>
      </c>
      <c r="V95" s="2">
        <v>44052</v>
      </c>
      <c r="W95" t="s">
        <v>48</v>
      </c>
      <c r="X95" t="s">
        <v>49</v>
      </c>
      <c r="Y95" t="s">
        <v>82</v>
      </c>
      <c r="Z95">
        <v>16</v>
      </c>
      <c r="AA95" t="s">
        <v>128</v>
      </c>
      <c r="AB95">
        <v>160</v>
      </c>
      <c r="AC95" t="s">
        <v>1075</v>
      </c>
    </row>
    <row r="96" spans="1:29" x14ac:dyDescent="0.2">
      <c r="A96" t="s">
        <v>86</v>
      </c>
      <c r="B96" t="s">
        <v>720</v>
      </c>
      <c r="C96" t="s">
        <v>32</v>
      </c>
      <c r="D96" t="s">
        <v>88</v>
      </c>
      <c r="E96" t="s">
        <v>89</v>
      </c>
      <c r="F96">
        <v>1</v>
      </c>
      <c r="G96" t="s">
        <v>721</v>
      </c>
      <c r="H96" t="s">
        <v>77</v>
      </c>
      <c r="I96" s="2">
        <v>46122</v>
      </c>
      <c r="J96" s="1">
        <v>0.3369328703703704</v>
      </c>
      <c r="K96" t="s">
        <v>722</v>
      </c>
      <c r="L96" t="s">
        <v>1079</v>
      </c>
      <c r="M96" t="s">
        <v>272</v>
      </c>
      <c r="N96" t="s">
        <v>115</v>
      </c>
      <c r="O96" t="s">
        <v>713</v>
      </c>
      <c r="P96" t="s">
        <v>363</v>
      </c>
      <c r="Q96" t="s">
        <v>42</v>
      </c>
      <c r="R96" t="s">
        <v>43</v>
      </c>
      <c r="S96" t="s">
        <v>44</v>
      </c>
      <c r="T96" t="s">
        <v>96</v>
      </c>
      <c r="U96" t="s">
        <v>46</v>
      </c>
      <c r="V96" s="2">
        <v>45561</v>
      </c>
      <c r="W96" t="s">
        <v>48</v>
      </c>
      <c r="X96" t="s">
        <v>49</v>
      </c>
      <c r="Z96" t="s">
        <v>51</v>
      </c>
      <c r="AA96" t="s">
        <v>52</v>
      </c>
      <c r="AB96">
        <v>1560</v>
      </c>
      <c r="AC96" t="s">
        <v>85</v>
      </c>
    </row>
    <row r="97" spans="1:29" x14ac:dyDescent="0.2">
      <c r="A97" t="s">
        <v>245</v>
      </c>
      <c r="B97" t="s">
        <v>723</v>
      </c>
      <c r="C97" t="s">
        <v>145</v>
      </c>
      <c r="D97" t="s">
        <v>100</v>
      </c>
      <c r="E97" t="s">
        <v>247</v>
      </c>
      <c r="F97" t="s">
        <v>32</v>
      </c>
      <c r="G97" t="s">
        <v>724</v>
      </c>
      <c r="H97" t="s">
        <v>134</v>
      </c>
      <c r="I97" s="2">
        <v>46122</v>
      </c>
      <c r="J97" t="s">
        <v>574</v>
      </c>
      <c r="K97" t="s">
        <v>725</v>
      </c>
      <c r="L97" t="s">
        <v>62</v>
      </c>
      <c r="M97" t="s">
        <v>272</v>
      </c>
      <c r="N97" t="s">
        <v>115</v>
      </c>
      <c r="O97" t="s">
        <v>713</v>
      </c>
      <c r="P97" t="s">
        <v>363</v>
      </c>
      <c r="Q97" t="s">
        <v>42</v>
      </c>
      <c r="R97" t="s">
        <v>43</v>
      </c>
      <c r="S97" t="s">
        <v>44</v>
      </c>
      <c r="T97" t="s">
        <v>106</v>
      </c>
      <c r="U97" t="s">
        <v>221</v>
      </c>
      <c r="V97" s="2">
        <v>46090</v>
      </c>
      <c r="W97" t="s">
        <v>48</v>
      </c>
      <c r="X97" t="s">
        <v>49</v>
      </c>
      <c r="Y97" t="s">
        <v>69</v>
      </c>
      <c r="Z97">
        <v>16</v>
      </c>
      <c r="AA97" t="s">
        <v>84</v>
      </c>
      <c r="AB97">
        <v>3000</v>
      </c>
      <c r="AC97" t="s">
        <v>53</v>
      </c>
    </row>
    <row r="98" spans="1:29" x14ac:dyDescent="0.2">
      <c r="A98" t="s">
        <v>129</v>
      </c>
      <c r="B98" t="s">
        <v>726</v>
      </c>
      <c r="C98" t="s">
        <v>29</v>
      </c>
      <c r="D98" t="s">
        <v>131</v>
      </c>
      <c r="E98" t="s">
        <v>132</v>
      </c>
      <c r="F98" t="s">
        <v>29</v>
      </c>
      <c r="G98" t="s">
        <v>727</v>
      </c>
      <c r="H98" t="s">
        <v>134</v>
      </c>
      <c r="I98" s="2">
        <v>46122</v>
      </c>
      <c r="J98" t="s">
        <v>581</v>
      </c>
      <c r="K98" t="s">
        <v>728</v>
      </c>
      <c r="L98" t="s">
        <v>37</v>
      </c>
      <c r="M98" t="s">
        <v>272</v>
      </c>
      <c r="N98" t="s">
        <v>115</v>
      </c>
      <c r="O98" t="s">
        <v>273</v>
      </c>
      <c r="P98" t="s">
        <v>41</v>
      </c>
      <c r="Q98" t="s">
        <v>42</v>
      </c>
      <c r="R98" t="s">
        <v>43</v>
      </c>
      <c r="S98" t="s">
        <v>44</v>
      </c>
      <c r="T98" t="s">
        <v>141</v>
      </c>
      <c r="U98" t="s">
        <v>200</v>
      </c>
      <c r="V98" t="s">
        <v>669</v>
      </c>
      <c r="W98" t="s">
        <v>48</v>
      </c>
      <c r="X98" t="s">
        <v>49</v>
      </c>
      <c r="Y98" t="s">
        <v>69</v>
      </c>
      <c r="Z98" t="s">
        <v>51</v>
      </c>
      <c r="AA98" t="s">
        <v>52</v>
      </c>
      <c r="AB98">
        <v>4289</v>
      </c>
      <c r="AC98" t="s">
        <v>53</v>
      </c>
    </row>
    <row r="99" spans="1:29" x14ac:dyDescent="0.2">
      <c r="A99" t="s">
        <v>373</v>
      </c>
      <c r="B99" t="s">
        <v>729</v>
      </c>
      <c r="C99" t="s">
        <v>29</v>
      </c>
      <c r="D99" t="s">
        <v>375</v>
      </c>
      <c r="E99" t="s">
        <v>193</v>
      </c>
      <c r="F99" t="s">
        <v>90</v>
      </c>
      <c r="G99" t="s">
        <v>730</v>
      </c>
      <c r="H99" t="s">
        <v>34</v>
      </c>
      <c r="I99" s="2">
        <v>46122</v>
      </c>
      <c r="J99" t="s">
        <v>590</v>
      </c>
      <c r="K99" t="s">
        <v>731</v>
      </c>
      <c r="L99" t="s">
        <v>80</v>
      </c>
      <c r="M99" t="s">
        <v>1010</v>
      </c>
      <c r="N99" t="s">
        <v>1011</v>
      </c>
      <c r="O99" t="s">
        <v>1012</v>
      </c>
      <c r="P99">
        <v>10000</v>
      </c>
      <c r="Q99" t="s">
        <v>42</v>
      </c>
      <c r="R99" t="s">
        <v>43</v>
      </c>
      <c r="S99" t="s">
        <v>44</v>
      </c>
      <c r="T99" t="s">
        <v>379</v>
      </c>
      <c r="U99" t="s">
        <v>46</v>
      </c>
      <c r="V99" s="2">
        <v>45407</v>
      </c>
      <c r="W99" t="s">
        <v>48</v>
      </c>
      <c r="X99" t="s">
        <v>49</v>
      </c>
      <c r="Y99" t="s">
        <v>82</v>
      </c>
      <c r="Z99" t="s">
        <v>83</v>
      </c>
      <c r="AA99" t="s">
        <v>84</v>
      </c>
      <c r="AB99">
        <v>10000</v>
      </c>
      <c r="AC99" t="s">
        <v>85</v>
      </c>
    </row>
    <row r="100" spans="1:29" x14ac:dyDescent="0.2">
      <c r="A100" t="s">
        <v>298</v>
      </c>
      <c r="B100" t="s">
        <v>732</v>
      </c>
      <c r="C100" t="s">
        <v>29</v>
      </c>
      <c r="D100" t="s">
        <v>300</v>
      </c>
      <c r="E100" t="s">
        <v>89</v>
      </c>
      <c r="F100" t="s">
        <v>29</v>
      </c>
      <c r="G100" t="s">
        <v>733</v>
      </c>
      <c r="H100" t="s">
        <v>59</v>
      </c>
      <c r="I100" s="2">
        <v>46122</v>
      </c>
      <c r="J100" t="s">
        <v>595</v>
      </c>
      <c r="K100" t="s">
        <v>734</v>
      </c>
      <c r="L100" t="s">
        <v>113</v>
      </c>
      <c r="M100" t="s">
        <v>138</v>
      </c>
      <c r="N100" t="s">
        <v>39</v>
      </c>
      <c r="O100" t="s">
        <v>304</v>
      </c>
      <c r="P100" t="s">
        <v>41</v>
      </c>
      <c r="Q100" t="s">
        <v>42</v>
      </c>
      <c r="R100" t="s">
        <v>43</v>
      </c>
      <c r="S100" t="s">
        <v>44</v>
      </c>
      <c r="T100" t="s">
        <v>305</v>
      </c>
      <c r="U100" t="s">
        <v>200</v>
      </c>
      <c r="V100" s="2">
        <v>45932</v>
      </c>
      <c r="W100" t="s">
        <v>48</v>
      </c>
      <c r="X100" t="s">
        <v>49</v>
      </c>
      <c r="Y100" t="s">
        <v>142</v>
      </c>
      <c r="Z100" t="s">
        <v>83</v>
      </c>
      <c r="AA100" t="s">
        <v>84</v>
      </c>
      <c r="AB100">
        <v>8936</v>
      </c>
      <c r="AC100" t="s">
        <v>53</v>
      </c>
    </row>
    <row r="101" spans="1:29" x14ac:dyDescent="0.2">
      <c r="A101" t="s">
        <v>559</v>
      </c>
      <c r="B101" t="s">
        <v>735</v>
      </c>
      <c r="C101" t="s">
        <v>29</v>
      </c>
      <c r="D101" t="s">
        <v>203</v>
      </c>
      <c r="E101" t="s">
        <v>204</v>
      </c>
      <c r="F101" t="s">
        <v>145</v>
      </c>
      <c r="G101" s="3">
        <v>857649899854581</v>
      </c>
      <c r="H101" t="s">
        <v>77</v>
      </c>
      <c r="I101" s="2">
        <v>46122</v>
      </c>
      <c r="J101" s="1">
        <v>0.82329861111111113</v>
      </c>
      <c r="K101" t="s">
        <v>736</v>
      </c>
      <c r="L101" t="s">
        <v>62</v>
      </c>
      <c r="M101" t="s">
        <v>1127</v>
      </c>
      <c r="N101" t="s">
        <v>1072</v>
      </c>
      <c r="O101" t="s">
        <v>1133</v>
      </c>
      <c r="P101">
        <v>1000</v>
      </c>
      <c r="Q101" t="s">
        <v>42</v>
      </c>
      <c r="R101" t="s">
        <v>43</v>
      </c>
      <c r="S101" t="s">
        <v>44</v>
      </c>
      <c r="T101" t="s">
        <v>210</v>
      </c>
      <c r="U101" t="s">
        <v>97</v>
      </c>
      <c r="V101" s="2">
        <v>42663</v>
      </c>
      <c r="W101" t="s">
        <v>48</v>
      </c>
      <c r="X101" t="s">
        <v>49</v>
      </c>
      <c r="Y101" t="s">
        <v>69</v>
      </c>
      <c r="Z101">
        <v>16</v>
      </c>
      <c r="AA101" t="s">
        <v>84</v>
      </c>
      <c r="AB101">
        <v>746</v>
      </c>
      <c r="AC101" t="s">
        <v>53</v>
      </c>
    </row>
    <row r="102" spans="1:29" x14ac:dyDescent="0.2">
      <c r="A102" t="s">
        <v>27</v>
      </c>
      <c r="B102" t="s">
        <v>737</v>
      </c>
      <c r="C102" t="s">
        <v>29</v>
      </c>
      <c r="D102" t="s">
        <v>30</v>
      </c>
      <c r="E102" t="s">
        <v>31</v>
      </c>
      <c r="F102">
        <v>2</v>
      </c>
      <c r="G102" t="s">
        <v>738</v>
      </c>
      <c r="H102" t="s">
        <v>34</v>
      </c>
      <c r="I102" s="2">
        <v>45911</v>
      </c>
      <c r="J102" s="1">
        <v>0.93068287037037034</v>
      </c>
      <c r="K102" t="s">
        <v>740</v>
      </c>
      <c r="L102" t="s">
        <v>1126</v>
      </c>
      <c r="M102" t="s">
        <v>1127</v>
      </c>
      <c r="N102" t="s">
        <v>39</v>
      </c>
      <c r="O102" t="s">
        <v>1128</v>
      </c>
      <c r="P102">
        <v>3000</v>
      </c>
      <c r="Q102" t="s">
        <v>42</v>
      </c>
      <c r="R102" t="s">
        <v>43</v>
      </c>
      <c r="S102" t="s">
        <v>44</v>
      </c>
      <c r="T102" t="s">
        <v>45</v>
      </c>
      <c r="U102" t="s">
        <v>46</v>
      </c>
      <c r="V102" t="s">
        <v>708</v>
      </c>
      <c r="W102" t="s">
        <v>48</v>
      </c>
      <c r="X102" t="s">
        <v>49</v>
      </c>
      <c r="Y102" t="s">
        <v>50</v>
      </c>
      <c r="Z102">
        <v>16</v>
      </c>
      <c r="AA102" t="s">
        <v>1125</v>
      </c>
      <c r="AB102">
        <v>3000</v>
      </c>
      <c r="AC102" t="s">
        <v>53</v>
      </c>
    </row>
    <row r="103" spans="1:29" x14ac:dyDescent="0.2">
      <c r="A103" t="s">
        <v>428</v>
      </c>
      <c r="B103" t="s">
        <v>741</v>
      </c>
      <c r="C103">
        <v>3</v>
      </c>
      <c r="D103" t="s">
        <v>430</v>
      </c>
      <c r="E103" t="s">
        <v>431</v>
      </c>
      <c r="F103">
        <v>1</v>
      </c>
      <c r="G103" t="s">
        <v>432</v>
      </c>
      <c r="H103" t="s">
        <v>134</v>
      </c>
      <c r="I103" s="2">
        <v>46123</v>
      </c>
      <c r="J103" s="1">
        <v>0.91717592592592589</v>
      </c>
      <c r="K103" t="s">
        <v>1156</v>
      </c>
      <c r="L103" t="s">
        <v>137</v>
      </c>
      <c r="M103" t="s">
        <v>1095</v>
      </c>
      <c r="N103" t="s">
        <v>115</v>
      </c>
      <c r="O103" t="s">
        <v>1155</v>
      </c>
      <c r="P103">
        <v>1280</v>
      </c>
      <c r="Q103" t="s">
        <v>42</v>
      </c>
      <c r="R103" t="s">
        <v>43</v>
      </c>
      <c r="S103" t="s">
        <v>44</v>
      </c>
      <c r="T103" t="s">
        <v>437</v>
      </c>
      <c r="U103" t="s">
        <v>68</v>
      </c>
      <c r="V103" s="2">
        <v>43194</v>
      </c>
      <c r="W103" t="s">
        <v>48</v>
      </c>
      <c r="X103" t="s">
        <v>49</v>
      </c>
      <c r="Y103" t="s">
        <v>142</v>
      </c>
      <c r="Z103">
        <v>16</v>
      </c>
      <c r="AA103" t="s">
        <v>84</v>
      </c>
      <c r="AB103">
        <v>1280</v>
      </c>
      <c r="AC103" t="s">
        <v>53</v>
      </c>
    </row>
    <row r="104" spans="1:29" x14ac:dyDescent="0.2">
      <c r="A104" t="s">
        <v>602</v>
      </c>
      <c r="B104" t="s">
        <v>742</v>
      </c>
      <c r="C104">
        <v>2</v>
      </c>
      <c r="D104" t="s">
        <v>604</v>
      </c>
      <c r="E104" t="s">
        <v>204</v>
      </c>
      <c r="F104">
        <v>1</v>
      </c>
      <c r="G104" t="s">
        <v>605</v>
      </c>
      <c r="H104" t="s">
        <v>59</v>
      </c>
      <c r="I104" s="2">
        <v>46123</v>
      </c>
      <c r="J104" s="1">
        <v>0.34385416666666668</v>
      </c>
      <c r="K104" t="s">
        <v>743</v>
      </c>
      <c r="L104" t="s">
        <v>1079</v>
      </c>
      <c r="M104" t="s">
        <v>1037</v>
      </c>
      <c r="N104" t="s">
        <v>1041</v>
      </c>
      <c r="O104" t="s">
        <v>1039</v>
      </c>
      <c r="P104">
        <v>1200</v>
      </c>
      <c r="Q104" t="s">
        <v>42</v>
      </c>
      <c r="R104" t="s">
        <v>43</v>
      </c>
      <c r="S104" t="s">
        <v>44</v>
      </c>
      <c r="T104" t="s">
        <v>609</v>
      </c>
      <c r="U104" t="s">
        <v>221</v>
      </c>
      <c r="V104" s="2">
        <v>46113</v>
      </c>
      <c r="W104" t="s">
        <v>48</v>
      </c>
      <c r="X104" t="s">
        <v>49</v>
      </c>
      <c r="Z104">
        <v>16</v>
      </c>
      <c r="AA104" t="s">
        <v>1154</v>
      </c>
      <c r="AB104">
        <v>1200</v>
      </c>
      <c r="AC104" t="s">
        <v>1087</v>
      </c>
    </row>
    <row r="105" spans="1:29" x14ac:dyDescent="0.2">
      <c r="A105" t="s">
        <v>482</v>
      </c>
      <c r="B105" t="s">
        <v>744</v>
      </c>
      <c r="C105">
        <v>3</v>
      </c>
      <c r="D105" t="s">
        <v>484</v>
      </c>
      <c r="E105">
        <v>75</v>
      </c>
      <c r="F105" t="s">
        <v>173</v>
      </c>
      <c r="G105" t="s">
        <v>485</v>
      </c>
      <c r="H105" t="s">
        <v>34</v>
      </c>
      <c r="I105" s="2">
        <v>46123</v>
      </c>
      <c r="J105" t="s">
        <v>626</v>
      </c>
      <c r="K105" t="s">
        <v>1163</v>
      </c>
      <c r="L105" t="s">
        <v>1097</v>
      </c>
      <c r="M105" t="s">
        <v>1095</v>
      </c>
      <c r="N105" t="s">
        <v>1077</v>
      </c>
      <c r="O105" t="s">
        <v>1155</v>
      </c>
      <c r="P105">
        <v>1280</v>
      </c>
      <c r="Q105" t="s">
        <v>42</v>
      </c>
      <c r="R105" t="s">
        <v>43</v>
      </c>
      <c r="S105" t="s">
        <v>44</v>
      </c>
      <c r="T105" t="s">
        <v>489</v>
      </c>
      <c r="U105" t="s">
        <v>200</v>
      </c>
      <c r="V105" s="2">
        <v>45834</v>
      </c>
      <c r="W105" t="s">
        <v>48</v>
      </c>
      <c r="X105" t="s">
        <v>49</v>
      </c>
      <c r="Z105" t="s">
        <v>70</v>
      </c>
      <c r="AA105" t="s">
        <v>71</v>
      </c>
      <c r="AB105">
        <v>1280</v>
      </c>
      <c r="AC105" t="s">
        <v>85</v>
      </c>
    </row>
    <row r="106" spans="1:29" x14ac:dyDescent="0.2">
      <c r="A106" t="s">
        <v>143</v>
      </c>
      <c r="B106" t="s">
        <v>745</v>
      </c>
      <c r="C106" t="s">
        <v>145</v>
      </c>
      <c r="D106" t="s">
        <v>146</v>
      </c>
      <c r="E106" t="s">
        <v>147</v>
      </c>
      <c r="F106">
        <v>2</v>
      </c>
      <c r="G106" t="s">
        <v>148</v>
      </c>
      <c r="H106" t="s">
        <v>77</v>
      </c>
      <c r="I106" s="2">
        <v>46123</v>
      </c>
      <c r="J106" s="1">
        <v>0.51217592592592598</v>
      </c>
      <c r="K106" t="s">
        <v>746</v>
      </c>
      <c r="L106" t="s">
        <v>1097</v>
      </c>
      <c r="M106" t="s">
        <v>1078</v>
      </c>
      <c r="N106" t="s">
        <v>1072</v>
      </c>
      <c r="O106" t="s">
        <v>1177</v>
      </c>
      <c r="P106">
        <v>1000</v>
      </c>
      <c r="S106" t="s">
        <v>44</v>
      </c>
      <c r="T106" t="s">
        <v>150</v>
      </c>
      <c r="U106" t="s">
        <v>97</v>
      </c>
      <c r="V106" s="2">
        <v>45575</v>
      </c>
      <c r="W106" t="s">
        <v>48</v>
      </c>
      <c r="X106" t="s">
        <v>49</v>
      </c>
      <c r="Z106">
        <v>16</v>
      </c>
      <c r="AA106" t="s">
        <v>84</v>
      </c>
      <c r="AB106">
        <v>1000</v>
      </c>
      <c r="AC106" t="s">
        <v>1087</v>
      </c>
    </row>
    <row r="107" spans="1:29" x14ac:dyDescent="0.2">
      <c r="A107" t="s">
        <v>408</v>
      </c>
      <c r="B107" t="s">
        <v>747</v>
      </c>
      <c r="C107">
        <v>3</v>
      </c>
      <c r="D107" t="s">
        <v>203</v>
      </c>
      <c r="E107">
        <v>40</v>
      </c>
      <c r="F107" t="s">
        <v>145</v>
      </c>
      <c r="G107">
        <v>388360722596965</v>
      </c>
      <c r="H107" t="s">
        <v>134</v>
      </c>
      <c r="I107" s="2">
        <v>46123</v>
      </c>
      <c r="J107" t="s">
        <v>639</v>
      </c>
      <c r="K107" t="s">
        <v>748</v>
      </c>
      <c r="L107" t="s">
        <v>62</v>
      </c>
      <c r="M107" t="s">
        <v>1081</v>
      </c>
      <c r="N107" t="s">
        <v>39</v>
      </c>
      <c r="O107" t="s">
        <v>1172</v>
      </c>
      <c r="P107">
        <v>610</v>
      </c>
      <c r="Q107" t="s">
        <v>42</v>
      </c>
      <c r="R107" t="s">
        <v>43</v>
      </c>
      <c r="S107" t="s">
        <v>44</v>
      </c>
      <c r="T107" t="s">
        <v>1173</v>
      </c>
      <c r="U107" t="s">
        <v>68</v>
      </c>
      <c r="V107" s="2">
        <v>45270</v>
      </c>
      <c r="W107" t="s">
        <v>48</v>
      </c>
      <c r="X107" t="s">
        <v>49</v>
      </c>
      <c r="Y107" t="s">
        <v>69</v>
      </c>
      <c r="Z107">
        <v>16</v>
      </c>
      <c r="AA107" t="s">
        <v>1171</v>
      </c>
      <c r="AB107">
        <v>610</v>
      </c>
      <c r="AC107" t="s">
        <v>1087</v>
      </c>
    </row>
    <row r="108" spans="1:29" x14ac:dyDescent="0.2">
      <c r="A108" t="s">
        <v>380</v>
      </c>
      <c r="B108" t="s">
        <v>750</v>
      </c>
      <c r="C108" t="s">
        <v>145</v>
      </c>
      <c r="D108" t="s">
        <v>100</v>
      </c>
      <c r="E108" t="s">
        <v>101</v>
      </c>
      <c r="F108">
        <v>3</v>
      </c>
      <c r="G108" t="s">
        <v>751</v>
      </c>
      <c r="H108" t="s">
        <v>34</v>
      </c>
      <c r="I108" s="2">
        <v>46123</v>
      </c>
      <c r="J108" t="s">
        <v>645</v>
      </c>
      <c r="K108" t="s">
        <v>752</v>
      </c>
      <c r="L108" t="s">
        <v>125</v>
      </c>
      <c r="M108" t="s">
        <v>518</v>
      </c>
      <c r="N108" t="s">
        <v>1072</v>
      </c>
      <c r="O108" t="s">
        <v>519</v>
      </c>
      <c r="P108" t="s">
        <v>41</v>
      </c>
      <c r="Q108" t="s">
        <v>42</v>
      </c>
      <c r="R108" t="s">
        <v>43</v>
      </c>
      <c r="S108" t="s">
        <v>44</v>
      </c>
      <c r="T108" t="s">
        <v>106</v>
      </c>
      <c r="U108" t="s">
        <v>200</v>
      </c>
      <c r="V108" s="2">
        <v>46032</v>
      </c>
      <c r="W108" t="s">
        <v>48</v>
      </c>
      <c r="X108" t="s">
        <v>49</v>
      </c>
      <c r="Y108" t="s">
        <v>82</v>
      </c>
      <c r="Z108" t="s">
        <v>70</v>
      </c>
      <c r="AA108" t="s">
        <v>71</v>
      </c>
      <c r="AB108">
        <v>9564</v>
      </c>
      <c r="AC108" t="s">
        <v>1075</v>
      </c>
    </row>
    <row r="109" spans="1:29" x14ac:dyDescent="0.2">
      <c r="A109" t="s">
        <v>252</v>
      </c>
      <c r="B109" t="s">
        <v>753</v>
      </c>
      <c r="C109" t="s">
        <v>32</v>
      </c>
      <c r="D109" t="s">
        <v>254</v>
      </c>
      <c r="E109" t="s">
        <v>255</v>
      </c>
      <c r="F109" t="s">
        <v>173</v>
      </c>
      <c r="G109" t="s">
        <v>754</v>
      </c>
      <c r="H109" t="s">
        <v>59</v>
      </c>
      <c r="I109" s="2">
        <v>46123</v>
      </c>
      <c r="J109" t="s">
        <v>651</v>
      </c>
      <c r="K109" t="s">
        <v>755</v>
      </c>
      <c r="L109" t="s">
        <v>1190</v>
      </c>
      <c r="M109" t="s">
        <v>1196</v>
      </c>
      <c r="N109" t="s">
        <v>115</v>
      </c>
      <c r="O109" t="s">
        <v>1197</v>
      </c>
      <c r="P109">
        <v>3200</v>
      </c>
      <c r="Q109" t="s">
        <v>42</v>
      </c>
      <c r="R109" t="s">
        <v>43</v>
      </c>
      <c r="S109" t="s">
        <v>44</v>
      </c>
      <c r="T109" t="s">
        <v>260</v>
      </c>
      <c r="U109" t="s">
        <v>97</v>
      </c>
      <c r="V109" s="2">
        <v>46063</v>
      </c>
      <c r="W109" t="s">
        <v>48</v>
      </c>
      <c r="X109" t="s">
        <v>49</v>
      </c>
      <c r="Z109">
        <v>16</v>
      </c>
      <c r="AA109" t="s">
        <v>128</v>
      </c>
      <c r="AB109">
        <v>1680</v>
      </c>
      <c r="AC109" t="s">
        <v>53</v>
      </c>
    </row>
    <row r="110" spans="1:29" x14ac:dyDescent="0.2">
      <c r="A110" t="s">
        <v>408</v>
      </c>
      <c r="B110" t="s">
        <v>756</v>
      </c>
      <c r="C110">
        <v>3</v>
      </c>
      <c r="D110" t="s">
        <v>203</v>
      </c>
      <c r="E110">
        <v>40</v>
      </c>
      <c r="F110">
        <v>1</v>
      </c>
      <c r="G110">
        <v>388360722596965</v>
      </c>
      <c r="H110" t="s">
        <v>134</v>
      </c>
      <c r="I110" s="2">
        <v>46123</v>
      </c>
      <c r="J110" t="s">
        <v>658</v>
      </c>
      <c r="K110" t="s">
        <v>757</v>
      </c>
      <c r="L110" t="s">
        <v>1079</v>
      </c>
      <c r="M110" t="s">
        <v>1081</v>
      </c>
      <c r="N110" t="s">
        <v>1072</v>
      </c>
      <c r="O110" t="s">
        <v>1172</v>
      </c>
      <c r="P110">
        <v>610</v>
      </c>
      <c r="Q110" t="s">
        <v>42</v>
      </c>
      <c r="R110" t="s">
        <v>43</v>
      </c>
      <c r="S110" t="s">
        <v>44</v>
      </c>
      <c r="T110" t="s">
        <v>210</v>
      </c>
      <c r="U110" t="s">
        <v>68</v>
      </c>
      <c r="V110" s="2">
        <v>45261</v>
      </c>
      <c r="W110" t="s">
        <v>48</v>
      </c>
      <c r="X110" t="s">
        <v>49</v>
      </c>
      <c r="Z110">
        <v>16</v>
      </c>
      <c r="AA110" t="s">
        <v>1171</v>
      </c>
      <c r="AB110">
        <v>610</v>
      </c>
      <c r="AC110" t="s">
        <v>1075</v>
      </c>
    </row>
    <row r="111" spans="1:29" x14ac:dyDescent="0.2">
      <c r="A111" t="s">
        <v>445</v>
      </c>
      <c r="B111" t="s">
        <v>758</v>
      </c>
      <c r="C111">
        <v>2</v>
      </c>
      <c r="D111" t="s">
        <v>447</v>
      </c>
      <c r="E111" t="s">
        <v>292</v>
      </c>
      <c r="F111">
        <v>1</v>
      </c>
      <c r="G111" t="s">
        <v>759</v>
      </c>
      <c r="H111" t="s">
        <v>77</v>
      </c>
      <c r="I111" s="2">
        <v>46123</v>
      </c>
      <c r="J111" t="s">
        <v>664</v>
      </c>
      <c r="K111" t="s">
        <v>760</v>
      </c>
      <c r="L111" t="s">
        <v>62</v>
      </c>
      <c r="M111" t="s">
        <v>236</v>
      </c>
      <c r="N111" t="s">
        <v>115</v>
      </c>
      <c r="O111" t="s">
        <v>564</v>
      </c>
      <c r="P111" t="s">
        <v>41</v>
      </c>
      <c r="Q111" t="s">
        <v>42</v>
      </c>
      <c r="R111" t="s">
        <v>43</v>
      </c>
      <c r="S111" t="s">
        <v>44</v>
      </c>
      <c r="T111" t="s">
        <v>451</v>
      </c>
      <c r="U111" t="s">
        <v>68</v>
      </c>
      <c r="V111" s="2">
        <v>43925</v>
      </c>
      <c r="W111" t="s">
        <v>48</v>
      </c>
      <c r="X111" t="s">
        <v>49</v>
      </c>
      <c r="Y111" t="s">
        <v>69</v>
      </c>
      <c r="Z111" t="s">
        <v>51</v>
      </c>
      <c r="AA111" t="s">
        <v>52</v>
      </c>
      <c r="AB111">
        <v>5943</v>
      </c>
      <c r="AC111" t="s">
        <v>1042</v>
      </c>
    </row>
    <row r="112" spans="1:29" x14ac:dyDescent="0.2">
      <c r="A112" t="s">
        <v>373</v>
      </c>
      <c r="B112" t="s">
        <v>729</v>
      </c>
      <c r="C112" t="s">
        <v>29</v>
      </c>
      <c r="D112" t="s">
        <v>375</v>
      </c>
      <c r="E112" t="s">
        <v>193</v>
      </c>
      <c r="F112" t="s">
        <v>90</v>
      </c>
      <c r="G112" t="s">
        <v>761</v>
      </c>
      <c r="H112" t="s">
        <v>34</v>
      </c>
      <c r="I112" s="2">
        <v>46124</v>
      </c>
      <c r="J112" t="s">
        <v>670</v>
      </c>
      <c r="K112" t="s">
        <v>763</v>
      </c>
      <c r="L112" t="s">
        <v>37</v>
      </c>
      <c r="M112" t="s">
        <v>1010</v>
      </c>
      <c r="N112" t="s">
        <v>1011</v>
      </c>
      <c r="O112" t="s">
        <v>1012</v>
      </c>
      <c r="P112">
        <v>10000</v>
      </c>
      <c r="Q112" t="s">
        <v>42</v>
      </c>
      <c r="R112" t="s">
        <v>43</v>
      </c>
      <c r="S112" t="s">
        <v>44</v>
      </c>
      <c r="T112" t="s">
        <v>379</v>
      </c>
      <c r="U112" t="s">
        <v>68</v>
      </c>
      <c r="V112" s="2">
        <v>45407</v>
      </c>
      <c r="W112" t="s">
        <v>48</v>
      </c>
      <c r="X112" t="s">
        <v>49</v>
      </c>
      <c r="Y112" t="s">
        <v>50</v>
      </c>
      <c r="Z112" t="s">
        <v>83</v>
      </c>
      <c r="AA112" t="s">
        <v>84</v>
      </c>
      <c r="AB112" cm="1">
        <f t="array" ref="AB112">IF(OR(COUNTIF(K112, "*FAC.C*")&gt;0, COUNTIF(J112, "*チャージ*")&gt;0, COUNTIF(J112, "*ギフト*")&gt;0), IFERROR(_xlfn.XLOOKUP(B112, $B$1:B111, $AB$1:AB111, 0, 0, -1), 0), IFERROR(ROUND(_xlfn.XLOOKUP(B112, $B$1:B111, $AB$1:AB111, 0, 0, -1) * 0.9 + P112 * 0.1, 0), ""))</f>
        <v>10000</v>
      </c>
      <c r="AC112" t="s">
        <v>85</v>
      </c>
    </row>
    <row r="113" spans="1:29" x14ac:dyDescent="0.2">
      <c r="A113" t="s">
        <v>298</v>
      </c>
      <c r="B113" t="s">
        <v>299</v>
      </c>
      <c r="C113" t="s">
        <v>29</v>
      </c>
      <c r="D113" t="s">
        <v>300</v>
      </c>
      <c r="E113" t="s">
        <v>89</v>
      </c>
      <c r="F113" t="s">
        <v>29</v>
      </c>
      <c r="G113" t="s">
        <v>764</v>
      </c>
      <c r="H113" t="s">
        <v>59</v>
      </c>
      <c r="I113" s="2">
        <v>46124</v>
      </c>
      <c r="J113" t="s">
        <v>674</v>
      </c>
      <c r="K113" t="s">
        <v>765</v>
      </c>
      <c r="L113" t="s">
        <v>80</v>
      </c>
      <c r="M113" t="s">
        <v>63</v>
      </c>
      <c r="N113" t="s">
        <v>64</v>
      </c>
      <c r="O113" t="s">
        <v>65</v>
      </c>
      <c r="P113" t="s">
        <v>66</v>
      </c>
      <c r="Q113" t="s">
        <v>42</v>
      </c>
      <c r="R113" t="s">
        <v>43</v>
      </c>
      <c r="S113" t="s">
        <v>44</v>
      </c>
      <c r="T113" t="s">
        <v>305</v>
      </c>
      <c r="U113" t="s">
        <v>97</v>
      </c>
      <c r="V113" t="s">
        <v>739</v>
      </c>
      <c r="W113" t="s">
        <v>48</v>
      </c>
      <c r="X113" t="s">
        <v>49</v>
      </c>
      <c r="Y113" t="s">
        <v>50</v>
      </c>
      <c r="Z113" t="s">
        <v>83</v>
      </c>
      <c r="AA113" t="s">
        <v>84</v>
      </c>
      <c r="AB113" cm="1">
        <f t="array" ref="AB113">IF(OR(COUNTIF(K113, "*FAC.C*")&gt;0, COUNTIF(J113, "*チャージ*")&gt;0, COUNTIF(J113, "*ギフト*")&gt;0), IFERROR(_xlfn.XLOOKUP(B113, $B$1:B112, $AB$1:AB112, 0, 0, -1), 0), IFERROR(ROUND(_xlfn.XLOOKUP(B113, $B$1:B112, $AB$1:AB112, 0, 0, -1) * 0.9 + P113 * 0.1, 0), ""))</f>
        <v>5262</v>
      </c>
      <c r="AC113" t="s">
        <v>53</v>
      </c>
    </row>
    <row r="114" spans="1:29" x14ac:dyDescent="0.2">
      <c r="A114" t="s">
        <v>654</v>
      </c>
      <c r="B114" t="s">
        <v>655</v>
      </c>
      <c r="C114" t="s">
        <v>29</v>
      </c>
      <c r="D114" t="s">
        <v>656</v>
      </c>
      <c r="E114" t="s">
        <v>147</v>
      </c>
      <c r="F114" t="s">
        <v>145</v>
      </c>
      <c r="G114" t="s">
        <v>766</v>
      </c>
      <c r="H114" t="s">
        <v>77</v>
      </c>
      <c r="I114" s="2">
        <v>46124</v>
      </c>
      <c r="J114" t="s">
        <v>678</v>
      </c>
      <c r="K114" t="s">
        <v>767</v>
      </c>
      <c r="L114" t="s">
        <v>113</v>
      </c>
      <c r="M114" t="s">
        <v>114</v>
      </c>
      <c r="N114" t="s">
        <v>115</v>
      </c>
      <c r="O114" t="s">
        <v>398</v>
      </c>
      <c r="P114" t="s">
        <v>198</v>
      </c>
      <c r="Q114" t="s">
        <v>42</v>
      </c>
      <c r="R114" t="s">
        <v>43</v>
      </c>
      <c r="S114" t="s">
        <v>44</v>
      </c>
      <c r="T114" t="s">
        <v>660</v>
      </c>
      <c r="U114" t="s">
        <v>68</v>
      </c>
      <c r="V114" t="s">
        <v>739</v>
      </c>
      <c r="W114" t="s">
        <v>48</v>
      </c>
      <c r="X114" t="s">
        <v>49</v>
      </c>
      <c r="Y114" t="s">
        <v>69</v>
      </c>
      <c r="Z114" t="s">
        <v>83</v>
      </c>
      <c r="AA114" t="s">
        <v>84</v>
      </c>
      <c r="AB114" cm="1">
        <f t="array" ref="AB114">IF(OR(COUNTIF(K114, "*FAC.C*")&gt;0, COUNTIF(J114, "*チャージ*")&gt;0, COUNTIF(J114, "*ギフト*")&gt;0), IFERROR(_xlfn.XLOOKUP(B114, $B$1:B113, $AB$1:AB113, 0, 0, -1), 0), IFERROR(ROUND(_xlfn.XLOOKUP(B114, $B$1:B113, $AB$1:AB113, 0, 0, -1) * 0.9 + P114 * 0.1, 0), ""))</f>
        <v>2955</v>
      </c>
      <c r="AC114" t="s">
        <v>85</v>
      </c>
    </row>
    <row r="115" spans="1:29" x14ac:dyDescent="0.2">
      <c r="A115" t="s">
        <v>654</v>
      </c>
      <c r="B115" t="s">
        <v>655</v>
      </c>
      <c r="C115" t="s">
        <v>29</v>
      </c>
      <c r="D115" t="s">
        <v>656</v>
      </c>
      <c r="E115" t="s">
        <v>147</v>
      </c>
      <c r="F115" t="s">
        <v>145</v>
      </c>
      <c r="G115" t="s">
        <v>768</v>
      </c>
      <c r="H115" t="s">
        <v>77</v>
      </c>
      <c r="I115" s="2">
        <v>46124</v>
      </c>
      <c r="J115" t="s">
        <v>682</v>
      </c>
      <c r="K115" t="s">
        <v>769</v>
      </c>
      <c r="L115" t="s">
        <v>62</v>
      </c>
      <c r="M115" t="s">
        <v>138</v>
      </c>
      <c r="N115" t="s">
        <v>39</v>
      </c>
      <c r="O115" t="s">
        <v>504</v>
      </c>
      <c r="P115" t="s">
        <v>363</v>
      </c>
      <c r="Q115" t="s">
        <v>42</v>
      </c>
      <c r="R115" t="s">
        <v>43</v>
      </c>
      <c r="S115" t="s">
        <v>44</v>
      </c>
      <c r="T115" t="s">
        <v>660</v>
      </c>
      <c r="U115" t="s">
        <v>46</v>
      </c>
      <c r="V115" t="s">
        <v>739</v>
      </c>
      <c r="W115" t="s">
        <v>48</v>
      </c>
      <c r="X115" t="s">
        <v>49</v>
      </c>
      <c r="Y115" t="s">
        <v>69</v>
      </c>
      <c r="Z115" t="s">
        <v>83</v>
      </c>
      <c r="AA115" t="s">
        <v>84</v>
      </c>
      <c r="AB115" cm="1">
        <f t="array" ref="AB115">IF(OR(COUNTIF(K115, "*FAC.C*")&gt;0, COUNTIF(J115, "*チャージ*")&gt;0, COUNTIF(J115, "*ギフト*")&gt;0), IFERROR(_xlfn.XLOOKUP(B115, $B$1:B114, $AB$1:AB114, 0, 0, -1), 0), IFERROR(ROUND(_xlfn.XLOOKUP(B115, $B$1:B114, $AB$1:AB114, 0, 0, -1) * 0.9 + P115 * 0.1, 0), ""))</f>
        <v>2960</v>
      </c>
      <c r="AC115" t="s">
        <v>85</v>
      </c>
    </row>
    <row r="116" spans="1:29" x14ac:dyDescent="0.2">
      <c r="A116" t="s">
        <v>452</v>
      </c>
      <c r="B116" t="s">
        <v>717</v>
      </c>
      <c r="C116" t="s">
        <v>32</v>
      </c>
      <c r="D116" t="s">
        <v>454</v>
      </c>
      <c r="E116" t="s">
        <v>455</v>
      </c>
      <c r="F116" t="s">
        <v>145</v>
      </c>
      <c r="G116" t="s">
        <v>718</v>
      </c>
      <c r="H116" t="s">
        <v>34</v>
      </c>
      <c r="I116" s="2">
        <v>46124</v>
      </c>
      <c r="J116" s="1">
        <v>0.47234953703703703</v>
      </c>
      <c r="K116" t="s">
        <v>770</v>
      </c>
      <c r="L116" t="s">
        <v>1120</v>
      </c>
      <c r="M116" t="s">
        <v>1078</v>
      </c>
      <c r="N116" t="s">
        <v>1072</v>
      </c>
      <c r="O116" t="s">
        <v>1181</v>
      </c>
      <c r="P116">
        <v>160</v>
      </c>
      <c r="Q116" t="s">
        <v>42</v>
      </c>
      <c r="R116" t="s">
        <v>43</v>
      </c>
      <c r="S116" t="s">
        <v>44</v>
      </c>
      <c r="T116" t="s">
        <v>460</v>
      </c>
      <c r="U116" t="s">
        <v>46</v>
      </c>
      <c r="V116" s="2">
        <v>44052</v>
      </c>
      <c r="W116" t="s">
        <v>48</v>
      </c>
      <c r="X116" t="s">
        <v>49</v>
      </c>
      <c r="Y116" t="s">
        <v>82</v>
      </c>
      <c r="Z116">
        <v>16</v>
      </c>
      <c r="AA116" t="s">
        <v>128</v>
      </c>
      <c r="AB116" cm="1">
        <f t="array" ref="AB116">IF(OR(COUNTIF(K116, "*FAC.C*")&gt;0, COUNTIF(J116, "*チャージ*")&gt;0, COUNTIF(J116, "*ギフト*")&gt;0), IFERROR(_xlfn.XLOOKUP(B116, $B$1:B115, $AB$1:AB115, 0, 0, -1), 0), IFERROR(ROUND(_xlfn.XLOOKUP(B116, $B$1:B115, $AB$1:AB115, 0, 0, -1) * 0.9 + P116 * 0.1, 0), ""))</f>
        <v>160</v>
      </c>
      <c r="AC116" t="s">
        <v>1075</v>
      </c>
    </row>
    <row r="117" spans="1:29" x14ac:dyDescent="0.2">
      <c r="A117" t="s">
        <v>438</v>
      </c>
      <c r="B117" t="s">
        <v>439</v>
      </c>
      <c r="C117" t="s">
        <v>32</v>
      </c>
      <c r="D117" t="s">
        <v>440</v>
      </c>
      <c r="E117" t="s">
        <v>175</v>
      </c>
      <c r="F117" t="s">
        <v>90</v>
      </c>
      <c r="G117" t="s">
        <v>441</v>
      </c>
      <c r="H117" t="s">
        <v>59</v>
      </c>
      <c r="I117" s="2">
        <v>46124</v>
      </c>
      <c r="J117" t="s">
        <v>690</v>
      </c>
      <c r="K117" t="s">
        <v>771</v>
      </c>
      <c r="L117" t="s">
        <v>137</v>
      </c>
      <c r="M117" t="s">
        <v>272</v>
      </c>
      <c r="N117" t="s">
        <v>115</v>
      </c>
      <c r="O117" t="s">
        <v>698</v>
      </c>
      <c r="P117" t="s">
        <v>198</v>
      </c>
      <c r="Q117" t="s">
        <v>42</v>
      </c>
      <c r="R117" t="s">
        <v>43</v>
      </c>
      <c r="S117" t="s">
        <v>44</v>
      </c>
      <c r="T117" t="s">
        <v>444</v>
      </c>
      <c r="U117" t="s">
        <v>46</v>
      </c>
      <c r="V117" s="2">
        <v>45195</v>
      </c>
      <c r="W117" t="s">
        <v>48</v>
      </c>
      <c r="X117" t="s">
        <v>49</v>
      </c>
      <c r="Y117" t="s">
        <v>142</v>
      </c>
      <c r="Z117">
        <v>14</v>
      </c>
      <c r="AA117" t="s">
        <v>107</v>
      </c>
      <c r="AB117" cm="1">
        <f t="array" ref="AB117">IF(OR(COUNTIF(K117, "*FAC.C*")&gt;0, COUNTIF(J117, "*チャージ*")&gt;0, COUNTIF(J117, "*ギフト*")&gt;0), IFERROR(_xlfn.XLOOKUP(B117, $B$1:B116, $AB$1:AB116, 0, 0, -1), 0), IFERROR(ROUND(_xlfn.XLOOKUP(B117, $B$1:B116, $AB$1:AB116, 0, 0, -1) * 0.9 + P117 * 0.1, 0), ""))</f>
        <v>1879</v>
      </c>
      <c r="AC117" t="s">
        <v>85</v>
      </c>
    </row>
    <row r="118" spans="1:29" x14ac:dyDescent="0.2">
      <c r="A118" t="s">
        <v>245</v>
      </c>
      <c r="B118" t="s">
        <v>246</v>
      </c>
      <c r="C118" t="s">
        <v>145</v>
      </c>
      <c r="D118" t="s">
        <v>100</v>
      </c>
      <c r="E118" t="s">
        <v>247</v>
      </c>
      <c r="F118" t="s">
        <v>32</v>
      </c>
      <c r="G118" t="s">
        <v>772</v>
      </c>
      <c r="H118" t="s">
        <v>134</v>
      </c>
      <c r="I118" s="2">
        <v>46124</v>
      </c>
      <c r="J118" s="1">
        <v>0.96885416666666668</v>
      </c>
      <c r="K118" t="s">
        <v>773</v>
      </c>
      <c r="L118" t="s">
        <v>1126</v>
      </c>
      <c r="M118" t="s">
        <v>434</v>
      </c>
      <c r="N118" t="s">
        <v>1077</v>
      </c>
      <c r="O118" t="s">
        <v>1175</v>
      </c>
      <c r="P118">
        <v>120</v>
      </c>
      <c r="Q118" t="s">
        <v>42</v>
      </c>
      <c r="R118" t="s">
        <v>43</v>
      </c>
      <c r="S118" t="s">
        <v>44</v>
      </c>
      <c r="T118" t="s">
        <v>106</v>
      </c>
      <c r="U118" t="s">
        <v>1179</v>
      </c>
      <c r="V118" s="2">
        <v>45393</v>
      </c>
      <c r="W118" t="s">
        <v>48</v>
      </c>
      <c r="X118" t="s">
        <v>49</v>
      </c>
      <c r="Y118">
        <v>352811</v>
      </c>
      <c r="Z118">
        <v>15</v>
      </c>
      <c r="AA118" t="s">
        <v>1154</v>
      </c>
      <c r="AB118">
        <v>247</v>
      </c>
      <c r="AC118" t="s">
        <v>53</v>
      </c>
    </row>
    <row r="119" spans="1:29" x14ac:dyDescent="0.2">
      <c r="A119" t="s">
        <v>98</v>
      </c>
      <c r="B119" t="s">
        <v>99</v>
      </c>
      <c r="C119" t="s">
        <v>29</v>
      </c>
      <c r="D119" t="s">
        <v>100</v>
      </c>
      <c r="E119" t="s">
        <v>101</v>
      </c>
      <c r="F119" t="s">
        <v>90</v>
      </c>
      <c r="G119" s="4">
        <v>748693027385298</v>
      </c>
      <c r="H119" t="s">
        <v>34</v>
      </c>
      <c r="I119" s="2">
        <v>46124</v>
      </c>
      <c r="J119" t="s">
        <v>449</v>
      </c>
      <c r="K119" t="s">
        <v>774</v>
      </c>
      <c r="L119" t="s">
        <v>62</v>
      </c>
      <c r="M119" t="s">
        <v>1027</v>
      </c>
      <c r="N119" t="s">
        <v>1028</v>
      </c>
      <c r="O119" t="s">
        <v>1063</v>
      </c>
      <c r="P119">
        <v>10000</v>
      </c>
      <c r="Q119" t="s">
        <v>42</v>
      </c>
      <c r="R119" t="s">
        <v>43</v>
      </c>
      <c r="S119" t="s">
        <v>44</v>
      </c>
      <c r="T119" t="s">
        <v>106</v>
      </c>
      <c r="U119" t="s">
        <v>200</v>
      </c>
      <c r="V119" s="2">
        <v>44284</v>
      </c>
      <c r="W119" t="s">
        <v>48</v>
      </c>
      <c r="X119" t="s">
        <v>49</v>
      </c>
      <c r="Y119" t="s">
        <v>69</v>
      </c>
      <c r="Z119">
        <v>14</v>
      </c>
      <c r="AA119" t="s">
        <v>107</v>
      </c>
      <c r="AB119" cm="1">
        <f t="array" ref="AB119">IF(OR(COUNTIF(K119, "*FAC.C*")&gt;0, COUNTIF(J119, "*チャージ*")&gt;0, COUNTIF(J119, "*ギフト*")&gt;0), IFERROR(_xlfn.XLOOKUP(B119, $B$1:B118, $AB$1:AB118, 0, 0, -1), 0), IFERROR(ROUND(_xlfn.XLOOKUP(B119, $B$1:B118, $AB$1:AB118, 0, 0, -1) * 0.9 + P119 * 0.1, 0), ""))</f>
        <v>20231</v>
      </c>
      <c r="AC119" t="s">
        <v>1045</v>
      </c>
    </row>
    <row r="120" spans="1:29" x14ac:dyDescent="0.2">
      <c r="A120" t="s">
        <v>408</v>
      </c>
      <c r="B120" t="s">
        <v>747</v>
      </c>
      <c r="C120">
        <v>3</v>
      </c>
      <c r="D120" t="s">
        <v>203</v>
      </c>
      <c r="E120">
        <v>40</v>
      </c>
      <c r="F120" t="s">
        <v>145</v>
      </c>
      <c r="G120">
        <v>388360722596965</v>
      </c>
      <c r="H120" t="s">
        <v>134</v>
      </c>
      <c r="I120" s="2">
        <v>46124</v>
      </c>
      <c r="J120" t="s">
        <v>701</v>
      </c>
      <c r="K120" t="s">
        <v>775</v>
      </c>
      <c r="L120" t="s">
        <v>113</v>
      </c>
      <c r="M120" t="s">
        <v>1081</v>
      </c>
      <c r="N120" t="s">
        <v>64</v>
      </c>
      <c r="O120" t="s">
        <v>1172</v>
      </c>
      <c r="P120">
        <v>610</v>
      </c>
      <c r="Q120" t="s">
        <v>42</v>
      </c>
      <c r="R120" t="s">
        <v>43</v>
      </c>
      <c r="S120" t="s">
        <v>44</v>
      </c>
      <c r="T120" t="s">
        <v>210</v>
      </c>
      <c r="U120" t="s">
        <v>68</v>
      </c>
      <c r="V120" s="2">
        <v>45270</v>
      </c>
      <c r="W120" t="s">
        <v>48</v>
      </c>
      <c r="X120" t="s">
        <v>49</v>
      </c>
      <c r="Z120">
        <v>16</v>
      </c>
      <c r="AA120" t="s">
        <v>1171</v>
      </c>
      <c r="AB120" cm="1">
        <f t="array" ref="AB120">IF(OR(COUNTIF(K120, "*FAC.C*")&gt;0, COUNTIF(J120, "*チャージ*")&gt;0, COUNTIF(J120, "*ギフト*")&gt;0), IFERROR(_xlfn.XLOOKUP(B120, $B$1:B119, $AB$1:AB119, 0, 0, -1), 0), IFERROR(ROUND(_xlfn.XLOOKUP(B120, $B$1:B119, $AB$1:AB119, 0, 0, -1) * 0.9 + P120 * 0.1, 0), ""))</f>
        <v>610</v>
      </c>
      <c r="AC120" t="s">
        <v>1075</v>
      </c>
    </row>
    <row r="121" spans="1:29" x14ac:dyDescent="0.2">
      <c r="A121" t="s">
        <v>602</v>
      </c>
      <c r="B121" t="s">
        <v>742</v>
      </c>
      <c r="C121">
        <v>2</v>
      </c>
      <c r="D121" t="s">
        <v>604</v>
      </c>
      <c r="E121" t="s">
        <v>204</v>
      </c>
      <c r="F121">
        <v>1</v>
      </c>
      <c r="G121" t="s">
        <v>605</v>
      </c>
      <c r="H121" t="s">
        <v>59</v>
      </c>
      <c r="I121" s="2">
        <v>46124</v>
      </c>
      <c r="J121" s="1">
        <v>0.94021990740740746</v>
      </c>
      <c r="K121" t="s">
        <v>776</v>
      </c>
      <c r="L121" t="s">
        <v>1079</v>
      </c>
      <c r="M121" t="s">
        <v>1037</v>
      </c>
      <c r="N121" t="s">
        <v>1041</v>
      </c>
      <c r="O121" t="s">
        <v>1040</v>
      </c>
      <c r="P121" t="s">
        <v>363</v>
      </c>
      <c r="Q121" t="s">
        <v>42</v>
      </c>
      <c r="R121" t="s">
        <v>43</v>
      </c>
      <c r="S121" t="s">
        <v>44</v>
      </c>
      <c r="T121" t="s">
        <v>609</v>
      </c>
      <c r="U121" t="s">
        <v>46</v>
      </c>
      <c r="V121" s="2">
        <v>46113</v>
      </c>
      <c r="W121" t="s">
        <v>48</v>
      </c>
      <c r="X121" t="s">
        <v>49</v>
      </c>
      <c r="Z121">
        <v>16</v>
      </c>
      <c r="AA121" t="s">
        <v>1154</v>
      </c>
      <c r="AB121" cm="1">
        <f t="array" ref="AB121">IF(OR(COUNTIF(K121, "*FAC.C*")&gt;0, COUNTIF(J121, "*チャージ*")&gt;0, COUNTIF(J121, "*ギフト*")&gt;0), IFERROR(_xlfn.XLOOKUP(B121, $B$1:B120, $AB$1:AB120, 0, 0, -1), 0), IFERROR(ROUND(_xlfn.XLOOKUP(B121, $B$1:B120, $AB$1:AB120, 0, 0, -1) * 0.9 + P121 * 0.1, 0), ""))</f>
        <v>1380</v>
      </c>
      <c r="AC121" t="s">
        <v>53</v>
      </c>
    </row>
    <row r="122" spans="1:29" x14ac:dyDescent="0.2">
      <c r="A122" t="s">
        <v>461</v>
      </c>
      <c r="B122" t="s">
        <v>462</v>
      </c>
      <c r="C122" t="s">
        <v>173</v>
      </c>
      <c r="D122" t="s">
        <v>463</v>
      </c>
      <c r="E122" t="s">
        <v>31</v>
      </c>
      <c r="F122">
        <v>2</v>
      </c>
      <c r="G122" t="s">
        <v>777</v>
      </c>
      <c r="H122" t="s">
        <v>77</v>
      </c>
      <c r="I122" s="2">
        <v>46125</v>
      </c>
      <c r="J122" s="1">
        <v>0.93068287037037034</v>
      </c>
      <c r="K122" t="s">
        <v>779</v>
      </c>
      <c r="L122" t="s">
        <v>125</v>
      </c>
      <c r="M122" t="s">
        <v>38</v>
      </c>
      <c r="N122" t="s">
        <v>1072</v>
      </c>
      <c r="O122" t="s">
        <v>296</v>
      </c>
      <c r="P122" t="s">
        <v>179</v>
      </c>
      <c r="Q122" t="s">
        <v>42</v>
      </c>
      <c r="R122" t="s">
        <v>43</v>
      </c>
      <c r="S122" t="s">
        <v>44</v>
      </c>
      <c r="T122" t="s">
        <v>467</v>
      </c>
      <c r="U122" t="s">
        <v>97</v>
      </c>
      <c r="V122" s="2">
        <v>46115</v>
      </c>
      <c r="W122" t="s">
        <v>48</v>
      </c>
      <c r="X122" t="s">
        <v>49</v>
      </c>
      <c r="Y122" t="s">
        <v>82</v>
      </c>
      <c r="Z122">
        <v>14</v>
      </c>
      <c r="AA122" t="s">
        <v>1086</v>
      </c>
      <c r="AB122" cm="1">
        <f t="array" ref="AB122">IF(OR(COUNTIF(K122, "*FAC.C*")&gt;0, COUNTIF(J122, "*チャージ*")&gt;0, COUNTIF(J122, "*ギフト*")&gt;0), IFERROR(_xlfn.XLOOKUP(B122, $B$1:B121, $AB$1:AB121, 0, 0, -1), 0), IFERROR(ROUND(_xlfn.XLOOKUP(B122, $B$1:B121, $AB$1:AB121, 0, 0, -1) * 0.9 + P122 * 0.1, 0), ""))</f>
        <v>1467</v>
      </c>
      <c r="AC122" t="s">
        <v>53</v>
      </c>
    </row>
    <row r="123" spans="1:29" x14ac:dyDescent="0.2">
      <c r="A123" t="s">
        <v>400</v>
      </c>
      <c r="B123" t="s">
        <v>401</v>
      </c>
      <c r="C123" t="s">
        <v>32</v>
      </c>
      <c r="D123" t="s">
        <v>402</v>
      </c>
      <c r="E123" t="s">
        <v>403</v>
      </c>
      <c r="F123" t="s">
        <v>32</v>
      </c>
      <c r="G123" t="s">
        <v>404</v>
      </c>
      <c r="H123" t="s">
        <v>59</v>
      </c>
      <c r="I123" s="2">
        <v>46125</v>
      </c>
      <c r="J123" s="1">
        <v>0.8298726851851852</v>
      </c>
      <c r="K123" t="s">
        <v>780</v>
      </c>
      <c r="L123" t="s">
        <v>137</v>
      </c>
      <c r="M123" t="s">
        <v>1098</v>
      </c>
      <c r="N123" t="s">
        <v>1099</v>
      </c>
      <c r="O123" t="s">
        <v>1108</v>
      </c>
      <c r="P123">
        <v>160</v>
      </c>
      <c r="Q123" t="s">
        <v>42</v>
      </c>
      <c r="R123" t="s">
        <v>43</v>
      </c>
      <c r="S123" t="s">
        <v>44</v>
      </c>
      <c r="T123" t="s">
        <v>407</v>
      </c>
      <c r="U123" t="s">
        <v>200</v>
      </c>
      <c r="V123" s="2">
        <v>41196</v>
      </c>
      <c r="W123" t="s">
        <v>48</v>
      </c>
      <c r="X123" t="s">
        <v>49</v>
      </c>
      <c r="Y123" t="s">
        <v>142</v>
      </c>
      <c r="Z123">
        <v>16</v>
      </c>
      <c r="AA123" t="s">
        <v>1109</v>
      </c>
      <c r="AB123" cm="1">
        <f t="array" ref="AB123">IF(OR(COUNTIF(K123, "*FAC.C*")&gt;0, COUNTIF(J123, "*チャージ*")&gt;0, COUNTIF(J123, "*ギフト*")&gt;0), IFERROR(_xlfn.XLOOKUP(B123, $B$1:B122, $AB$1:AB122, 0, 0, -1), 0), IFERROR(ROUND(_xlfn.XLOOKUP(B123, $B$1:B122, $AB$1:AB122, 0, 0, -1) * 0.9 + P123 * 0.1, 0), ""))</f>
        <v>160</v>
      </c>
      <c r="AC123" t="s">
        <v>53</v>
      </c>
    </row>
    <row r="124" spans="1:29" x14ac:dyDescent="0.2">
      <c r="A124" t="s">
        <v>559</v>
      </c>
      <c r="B124" t="s">
        <v>735</v>
      </c>
      <c r="C124" t="s">
        <v>29</v>
      </c>
      <c r="D124" t="s">
        <v>203</v>
      </c>
      <c r="E124" t="s">
        <v>204</v>
      </c>
      <c r="F124" t="s">
        <v>145</v>
      </c>
      <c r="G124" s="3">
        <v>857649899854581</v>
      </c>
      <c r="H124" t="s">
        <v>77</v>
      </c>
      <c r="I124" s="2">
        <v>46125</v>
      </c>
      <c r="J124" s="1">
        <v>0.84217592592592594</v>
      </c>
      <c r="K124" t="s">
        <v>781</v>
      </c>
      <c r="L124" t="s">
        <v>1079</v>
      </c>
      <c r="M124" t="s">
        <v>1127</v>
      </c>
      <c r="N124" t="s">
        <v>1072</v>
      </c>
      <c r="O124" t="s">
        <v>1134</v>
      </c>
      <c r="P124">
        <v>480</v>
      </c>
      <c r="Q124" t="s">
        <v>42</v>
      </c>
      <c r="R124" t="s">
        <v>43</v>
      </c>
      <c r="S124" t="s">
        <v>44</v>
      </c>
      <c r="T124" t="s">
        <v>210</v>
      </c>
      <c r="U124" t="s">
        <v>46</v>
      </c>
      <c r="V124" s="2">
        <v>42663</v>
      </c>
      <c r="W124" t="s">
        <v>48</v>
      </c>
      <c r="X124" t="s">
        <v>49</v>
      </c>
      <c r="Z124">
        <v>16</v>
      </c>
      <c r="AA124" t="s">
        <v>84</v>
      </c>
      <c r="AB124" cm="1">
        <f t="array" ref="AB124">IF(OR(COUNTIF(K124, "*FAC.C*")&gt;0, COUNTIF(J124, "*チャージ*")&gt;0, COUNTIF(J124, "*ギフト*")&gt;0), IFERROR(_xlfn.XLOOKUP(B124, $B$1:B123, $AB$1:AB123, 0, 0, -1), 0), IFERROR(ROUND(_xlfn.XLOOKUP(B124, $B$1:B123, $AB$1:AB123, 0, 0, -1) * 0.9 + P124 * 0.1, 0), ""))</f>
        <v>719</v>
      </c>
      <c r="AC124" t="s">
        <v>53</v>
      </c>
    </row>
    <row r="125" spans="1:29" x14ac:dyDescent="0.2">
      <c r="A125" t="s">
        <v>129</v>
      </c>
      <c r="B125" t="s">
        <v>726</v>
      </c>
      <c r="C125" t="s">
        <v>29</v>
      </c>
      <c r="D125" t="s">
        <v>131</v>
      </c>
      <c r="E125" t="s">
        <v>132</v>
      </c>
      <c r="F125" t="s">
        <v>29</v>
      </c>
      <c r="G125" t="s">
        <v>782</v>
      </c>
      <c r="H125" t="s">
        <v>134</v>
      </c>
      <c r="I125" s="2">
        <v>46125</v>
      </c>
      <c r="J125" t="s">
        <v>562</v>
      </c>
      <c r="K125" t="s">
        <v>783</v>
      </c>
      <c r="L125" t="s">
        <v>62</v>
      </c>
      <c r="M125" t="s">
        <v>63</v>
      </c>
      <c r="N125" t="s">
        <v>64</v>
      </c>
      <c r="O125" t="s">
        <v>65</v>
      </c>
      <c r="P125" t="s">
        <v>66</v>
      </c>
      <c r="Q125" t="s">
        <v>42</v>
      </c>
      <c r="R125" t="s">
        <v>43</v>
      </c>
      <c r="S125" t="s">
        <v>44</v>
      </c>
      <c r="T125" t="s">
        <v>141</v>
      </c>
      <c r="U125" t="s">
        <v>68</v>
      </c>
      <c r="V125" t="s">
        <v>762</v>
      </c>
      <c r="W125" t="s">
        <v>48</v>
      </c>
      <c r="X125" t="s">
        <v>49</v>
      </c>
      <c r="Y125" t="s">
        <v>69</v>
      </c>
      <c r="Z125" t="s">
        <v>51</v>
      </c>
      <c r="AA125" t="s">
        <v>52</v>
      </c>
      <c r="AB125" cm="1">
        <f t="array" ref="AB125">IF(OR(COUNTIF(K125, "*FAC.C*")&gt;0, COUNTIF(J125, "*チャージ*")&gt;0, COUNTIF(J125, "*ギフト*")&gt;0), IFERROR(_xlfn.XLOOKUP(B125, $B$1:B124, $AB$1:AB124, 0, 0, -1), 0), IFERROR(ROUND(_xlfn.XLOOKUP(B125, $B$1:B124, $AB$1:AB124, 0, 0, -1) * 0.9 + P125 * 0.1, 0), ""))</f>
        <v>4180</v>
      </c>
      <c r="AC125" t="s">
        <v>53</v>
      </c>
    </row>
    <row r="126" spans="1:29" x14ac:dyDescent="0.2">
      <c r="A126" t="s">
        <v>452</v>
      </c>
      <c r="B126" t="s">
        <v>453</v>
      </c>
      <c r="C126" t="s">
        <v>32</v>
      </c>
      <c r="D126" t="s">
        <v>454</v>
      </c>
      <c r="E126" t="s">
        <v>455</v>
      </c>
      <c r="F126" t="s">
        <v>145</v>
      </c>
      <c r="G126" t="s">
        <v>784</v>
      </c>
      <c r="H126" t="s">
        <v>34</v>
      </c>
      <c r="I126" s="2">
        <v>46125</v>
      </c>
      <c r="J126" t="s">
        <v>568</v>
      </c>
      <c r="K126" t="s">
        <v>785</v>
      </c>
      <c r="L126" t="s">
        <v>37</v>
      </c>
      <c r="M126" t="s">
        <v>104</v>
      </c>
      <c r="N126" t="s">
        <v>39</v>
      </c>
      <c r="O126" t="s">
        <v>187</v>
      </c>
      <c r="P126" t="s">
        <v>188</v>
      </c>
      <c r="Q126" t="s">
        <v>42</v>
      </c>
      <c r="R126" t="s">
        <v>43</v>
      </c>
      <c r="S126" t="s">
        <v>44</v>
      </c>
      <c r="T126" t="s">
        <v>460</v>
      </c>
      <c r="U126" t="s">
        <v>97</v>
      </c>
      <c r="V126" t="s">
        <v>669</v>
      </c>
      <c r="W126" t="s">
        <v>48</v>
      </c>
      <c r="X126" t="s">
        <v>49</v>
      </c>
      <c r="Y126" t="s">
        <v>142</v>
      </c>
      <c r="Z126" t="s">
        <v>70</v>
      </c>
      <c r="AA126" t="s">
        <v>128</v>
      </c>
      <c r="AB126" cm="1">
        <f t="array" ref="AB126">IF(OR(COUNTIF(K126, "*FAC.C*")&gt;0, COUNTIF(J126, "*チャージ*")&gt;0, COUNTIF(J126, "*ギフト*")&gt;0), IFERROR(_xlfn.XLOOKUP(B126, $B$1:B125, $AB$1:AB125, 0, 0, -1), 0), IFERROR(ROUND(_xlfn.XLOOKUP(B126, $B$1:B125, $AB$1:AB125, 0, 0, -1) * 0.9 + P126 * 0.1, 0), ""))</f>
        <v>6594</v>
      </c>
      <c r="AC126" t="s">
        <v>85</v>
      </c>
    </row>
    <row r="127" spans="1:29" x14ac:dyDescent="0.2">
      <c r="A127" t="s">
        <v>267</v>
      </c>
      <c r="B127" t="s">
        <v>268</v>
      </c>
      <c r="C127" t="s">
        <v>32</v>
      </c>
      <c r="D127" t="s">
        <v>88</v>
      </c>
      <c r="E127" t="s">
        <v>154</v>
      </c>
      <c r="F127" t="s">
        <v>29</v>
      </c>
      <c r="G127" t="s">
        <v>269</v>
      </c>
      <c r="H127" t="s">
        <v>34</v>
      </c>
      <c r="I127" s="2">
        <v>46125</v>
      </c>
      <c r="J127" t="s">
        <v>574</v>
      </c>
      <c r="K127" t="s">
        <v>786</v>
      </c>
      <c r="L127" t="s">
        <v>80</v>
      </c>
      <c r="M127" t="s">
        <v>93</v>
      </c>
      <c r="N127" t="s">
        <v>39</v>
      </c>
      <c r="O127" t="s">
        <v>787</v>
      </c>
      <c r="P127" t="s">
        <v>788</v>
      </c>
      <c r="Q127" t="s">
        <v>42</v>
      </c>
      <c r="R127" t="s">
        <v>43</v>
      </c>
      <c r="S127" t="s">
        <v>44</v>
      </c>
      <c r="T127" t="s">
        <v>96</v>
      </c>
      <c r="U127" t="s">
        <v>68</v>
      </c>
      <c r="V127" t="s">
        <v>762</v>
      </c>
      <c r="W127" t="s">
        <v>48</v>
      </c>
      <c r="X127" t="s">
        <v>49</v>
      </c>
      <c r="Y127" t="s">
        <v>142</v>
      </c>
      <c r="Z127" t="s">
        <v>51</v>
      </c>
      <c r="AA127" t="s">
        <v>107</v>
      </c>
      <c r="AB127" cm="1">
        <f t="array" ref="AB127">IF(OR(COUNTIF(K127, "*FAC.C*")&gt;0, COUNTIF(J127, "*チャージ*")&gt;0, COUNTIF(J127, "*ギフト*")&gt;0), IFERROR(_xlfn.XLOOKUP(B127, $B$1:B126, $AB$1:AB126, 0, 0, -1), 0), IFERROR(ROUND(_xlfn.XLOOKUP(B127, $B$1:B126, $AB$1:AB126, 0, 0, -1) * 0.9 + P127 * 0.1, 0), ""))</f>
        <v>5418</v>
      </c>
      <c r="AC127" t="s">
        <v>85</v>
      </c>
    </row>
    <row r="128" spans="1:29" x14ac:dyDescent="0.2">
      <c r="A128" t="s">
        <v>274</v>
      </c>
      <c r="B128" t="s">
        <v>275</v>
      </c>
      <c r="C128" t="s">
        <v>173</v>
      </c>
      <c r="D128" t="s">
        <v>276</v>
      </c>
      <c r="E128" t="s">
        <v>89</v>
      </c>
      <c r="F128" t="s">
        <v>173</v>
      </c>
      <c r="G128" t="s">
        <v>277</v>
      </c>
      <c r="H128" t="s">
        <v>134</v>
      </c>
      <c r="I128" s="2">
        <v>46125</v>
      </c>
      <c r="J128" s="1">
        <v>0.34385416666666668</v>
      </c>
      <c r="K128" t="s">
        <v>789</v>
      </c>
      <c r="L128" t="s">
        <v>113</v>
      </c>
      <c r="M128" t="s">
        <v>1036</v>
      </c>
      <c r="N128" t="s">
        <v>1182</v>
      </c>
      <c r="O128" t="s">
        <v>1203</v>
      </c>
      <c r="P128">
        <v>320</v>
      </c>
      <c r="Q128" t="s">
        <v>279</v>
      </c>
      <c r="R128" t="s">
        <v>43</v>
      </c>
      <c r="S128" t="s">
        <v>44</v>
      </c>
      <c r="T128" t="s">
        <v>1206</v>
      </c>
      <c r="U128" t="s">
        <v>1207</v>
      </c>
      <c r="V128" s="2">
        <v>44138</v>
      </c>
      <c r="W128" t="s">
        <v>48</v>
      </c>
      <c r="X128">
        <v>1</v>
      </c>
      <c r="Z128" t="s">
        <v>70</v>
      </c>
      <c r="AA128" t="s">
        <v>128</v>
      </c>
      <c r="AB128" cm="1">
        <f t="array" ref="AB128">IF(OR(COUNTIF(K128, "*FAC.C*")&gt;0, COUNTIF(J128, "*チャージ*")&gt;0, COUNTIF(J128, "*ギフト*")&gt;0), IFERROR(_xlfn.XLOOKUP(B128, $B$1:B127, $AB$1:AB127, 0, 0, -1), 0), IFERROR(ROUND(_xlfn.XLOOKUP(B128, $B$1:B127, $AB$1:AB127, 0, 0, -1) * 0.9 + P128 * 0.1, 0), ""))</f>
        <v>569</v>
      </c>
      <c r="AC128" t="s">
        <v>1192</v>
      </c>
    </row>
    <row r="129" spans="1:29" x14ac:dyDescent="0.2">
      <c r="A129" t="s">
        <v>281</v>
      </c>
      <c r="B129" t="s">
        <v>282</v>
      </c>
      <c r="C129" t="s">
        <v>173</v>
      </c>
      <c r="D129" t="s">
        <v>283</v>
      </c>
      <c r="E129" t="s">
        <v>284</v>
      </c>
      <c r="F129" t="s">
        <v>145</v>
      </c>
      <c r="G129" s="3">
        <v>359150071234560</v>
      </c>
      <c r="H129" t="s">
        <v>59</v>
      </c>
      <c r="I129" s="2">
        <v>46125</v>
      </c>
      <c r="J129" t="s">
        <v>590</v>
      </c>
      <c r="K129" t="s">
        <v>790</v>
      </c>
      <c r="L129" t="s">
        <v>113</v>
      </c>
      <c r="M129" t="s">
        <v>138</v>
      </c>
      <c r="N129" t="s">
        <v>1028</v>
      </c>
      <c r="O129" t="s">
        <v>504</v>
      </c>
      <c r="P129" t="s">
        <v>363</v>
      </c>
      <c r="Q129" t="s">
        <v>42</v>
      </c>
      <c r="R129" t="s">
        <v>43</v>
      </c>
      <c r="S129" t="s">
        <v>44</v>
      </c>
      <c r="T129" t="s">
        <v>288</v>
      </c>
      <c r="U129" t="s">
        <v>46</v>
      </c>
      <c r="V129" s="2">
        <v>42441</v>
      </c>
      <c r="W129" t="s">
        <v>48</v>
      </c>
      <c r="X129" t="s">
        <v>49</v>
      </c>
      <c r="Z129" t="s">
        <v>70</v>
      </c>
      <c r="AA129" t="s">
        <v>1026</v>
      </c>
      <c r="AB129" cm="1">
        <f t="array" ref="AB129">IF(OR(COUNTIF(K129, "*FAC.C*")&gt;0, COUNTIF(J129, "*チャージ*")&gt;0, COUNTIF(J129, "*ギフト*")&gt;0), IFERROR(_xlfn.XLOOKUP(B129, $B$1:B128, $AB$1:AB128, 0, 0, -1), 0), IFERROR(ROUND(_xlfn.XLOOKUP(B129, $B$1:B128, $AB$1:AB128, 0, 0, -1) * 0.9 + P129 * 0.1, 0), ""))</f>
        <v>32009</v>
      </c>
      <c r="AC129" t="s">
        <v>53</v>
      </c>
    </row>
    <row r="130" spans="1:29" x14ac:dyDescent="0.2">
      <c r="A130" t="s">
        <v>289</v>
      </c>
      <c r="B130" t="s">
        <v>290</v>
      </c>
      <c r="C130" t="s">
        <v>145</v>
      </c>
      <c r="D130" t="s">
        <v>291</v>
      </c>
      <c r="E130" t="s">
        <v>292</v>
      </c>
      <c r="F130" t="s">
        <v>29</v>
      </c>
      <c r="G130" t="s">
        <v>293</v>
      </c>
      <c r="H130" t="s">
        <v>59</v>
      </c>
      <c r="I130" s="2">
        <v>46125</v>
      </c>
      <c r="J130" t="s">
        <v>595</v>
      </c>
      <c r="K130" t="s">
        <v>791</v>
      </c>
      <c r="L130" t="s">
        <v>1190</v>
      </c>
      <c r="M130" t="s">
        <v>38</v>
      </c>
      <c r="N130" t="s">
        <v>1182</v>
      </c>
      <c r="O130" t="s">
        <v>1191</v>
      </c>
      <c r="P130">
        <v>1000</v>
      </c>
      <c r="Q130" t="s">
        <v>42</v>
      </c>
      <c r="R130" t="s">
        <v>43</v>
      </c>
      <c r="S130" t="s">
        <v>44</v>
      </c>
      <c r="T130" t="s">
        <v>297</v>
      </c>
      <c r="U130" t="s">
        <v>1194</v>
      </c>
      <c r="V130" s="2">
        <v>41731</v>
      </c>
      <c r="W130" t="s">
        <v>48</v>
      </c>
      <c r="X130" t="s">
        <v>49</v>
      </c>
      <c r="Z130">
        <v>16</v>
      </c>
      <c r="AA130" t="s">
        <v>128</v>
      </c>
      <c r="AB130" cm="1">
        <f t="array" ref="AB130">IF(OR(COUNTIF(K130, "*FAC.C*")&gt;0, COUNTIF(J130, "*チャージ*")&gt;0, COUNTIF(J130, "*ギフト*")&gt;0), IFERROR(_xlfn.XLOOKUP(B130, $B$1:B129, $AB$1:AB129, 0, 0, -1), 0), IFERROR(ROUND(_xlfn.XLOOKUP(B130, $B$1:B129, $AB$1:AB129, 0, 0, -1) * 0.9 + P130 * 0.1, 0), ""))</f>
        <v>1000</v>
      </c>
      <c r="AC130" t="s">
        <v>53</v>
      </c>
    </row>
    <row r="131" spans="1:29" x14ac:dyDescent="0.2">
      <c r="A131" t="s">
        <v>298</v>
      </c>
      <c r="B131" t="s">
        <v>299</v>
      </c>
      <c r="C131" t="s">
        <v>29</v>
      </c>
      <c r="D131" t="s">
        <v>300</v>
      </c>
      <c r="E131" t="s">
        <v>89</v>
      </c>
      <c r="F131" t="s">
        <v>29</v>
      </c>
      <c r="G131" t="s">
        <v>301</v>
      </c>
      <c r="H131" t="s">
        <v>59</v>
      </c>
      <c r="I131" s="2">
        <v>46125</v>
      </c>
      <c r="J131" t="s">
        <v>600</v>
      </c>
      <c r="K131" t="s">
        <v>792</v>
      </c>
      <c r="L131" t="s">
        <v>137</v>
      </c>
      <c r="M131" t="s">
        <v>93</v>
      </c>
      <c r="N131" t="s">
        <v>39</v>
      </c>
      <c r="O131" t="s">
        <v>178</v>
      </c>
      <c r="P131" t="s">
        <v>179</v>
      </c>
      <c r="Q131" t="s">
        <v>42</v>
      </c>
      <c r="R131" t="s">
        <v>43</v>
      </c>
      <c r="S131" t="s">
        <v>44</v>
      </c>
      <c r="T131" t="s">
        <v>305</v>
      </c>
      <c r="U131" t="s">
        <v>200</v>
      </c>
      <c r="V131" t="s">
        <v>762</v>
      </c>
      <c r="W131" t="s">
        <v>48</v>
      </c>
      <c r="X131" t="s">
        <v>49</v>
      </c>
      <c r="Y131" t="s">
        <v>142</v>
      </c>
      <c r="Z131" t="s">
        <v>83</v>
      </c>
      <c r="AA131" t="s">
        <v>84</v>
      </c>
      <c r="AB131" cm="1">
        <f t="array" ref="AB131">IF(OR(COUNTIF(K131, "*FAC.C*")&gt;0, COUNTIF(J131, "*チャージ*")&gt;0, COUNTIF(J131, "*ギフト*")&gt;0), IFERROR(_xlfn.XLOOKUP(B131, $B$1:B130, $AB$1:AB130, 0, 0, -1), 0), IFERROR(ROUND(_xlfn.XLOOKUP(B131, $B$1:B130, $AB$1:AB130, 0, 0, -1) * 0.9 + P131 * 0.1, 0), ""))</f>
        <v>4784</v>
      </c>
      <c r="AC131" t="s">
        <v>53</v>
      </c>
    </row>
    <row r="132" spans="1:29" x14ac:dyDescent="0.2">
      <c r="A132" t="s">
        <v>306</v>
      </c>
      <c r="B132" t="s">
        <v>307</v>
      </c>
      <c r="C132" t="s">
        <v>29</v>
      </c>
      <c r="D132" t="s">
        <v>308</v>
      </c>
      <c r="E132" t="s">
        <v>309</v>
      </c>
      <c r="F132" t="s">
        <v>145</v>
      </c>
      <c r="G132" t="s">
        <v>310</v>
      </c>
      <c r="H132" t="s">
        <v>77</v>
      </c>
      <c r="I132" s="2">
        <v>46126</v>
      </c>
      <c r="J132" s="1">
        <v>0.72234953703703708</v>
      </c>
      <c r="K132" t="s">
        <v>794</v>
      </c>
      <c r="L132" t="s">
        <v>1126</v>
      </c>
      <c r="M132" t="s">
        <v>1071</v>
      </c>
      <c r="N132" t="s">
        <v>1072</v>
      </c>
      <c r="O132" t="s">
        <v>1151</v>
      </c>
      <c r="P132">
        <v>5000</v>
      </c>
      <c r="Q132" t="s">
        <v>42</v>
      </c>
      <c r="R132" t="s">
        <v>43</v>
      </c>
      <c r="S132" t="s">
        <v>44</v>
      </c>
      <c r="T132" t="s">
        <v>313</v>
      </c>
      <c r="U132" t="s">
        <v>200</v>
      </c>
      <c r="V132" s="2">
        <v>44836</v>
      </c>
      <c r="W132" t="s">
        <v>48</v>
      </c>
      <c r="X132" t="s">
        <v>49</v>
      </c>
      <c r="Y132" t="s">
        <v>82</v>
      </c>
      <c r="Z132">
        <v>16</v>
      </c>
      <c r="AA132" t="s">
        <v>84</v>
      </c>
      <c r="AB132">
        <v>6127</v>
      </c>
      <c r="AC132" t="s">
        <v>53</v>
      </c>
    </row>
    <row r="133" spans="1:29" x14ac:dyDescent="0.2">
      <c r="A133" t="s">
        <v>314</v>
      </c>
      <c r="B133" t="s">
        <v>315</v>
      </c>
      <c r="C133">
        <v>1</v>
      </c>
      <c r="D133" t="s">
        <v>316</v>
      </c>
      <c r="E133" t="s">
        <v>247</v>
      </c>
      <c r="F133">
        <v>1</v>
      </c>
      <c r="G133" t="s">
        <v>317</v>
      </c>
      <c r="H133" t="s">
        <v>34</v>
      </c>
      <c r="I133" s="2">
        <v>46126</v>
      </c>
      <c r="J133" s="1">
        <v>0.91370370370370368</v>
      </c>
      <c r="K133" t="s">
        <v>1137</v>
      </c>
      <c r="L133" t="s">
        <v>1097</v>
      </c>
      <c r="N133" t="s">
        <v>115</v>
      </c>
      <c r="O133" t="s">
        <v>1096</v>
      </c>
      <c r="P133">
        <v>500</v>
      </c>
      <c r="Q133" t="s">
        <v>42</v>
      </c>
      <c r="R133" t="s">
        <v>43</v>
      </c>
      <c r="S133" t="s">
        <v>44</v>
      </c>
      <c r="T133" t="s">
        <v>320</v>
      </c>
      <c r="U133" t="s">
        <v>46</v>
      </c>
      <c r="V133" t="s">
        <v>778</v>
      </c>
      <c r="W133" t="s">
        <v>48</v>
      </c>
      <c r="X133" t="s">
        <v>49</v>
      </c>
      <c r="Z133">
        <v>16</v>
      </c>
      <c r="AA133" t="s">
        <v>1135</v>
      </c>
      <c r="AB133" cm="1">
        <f t="array" ref="AB133">IF(OR(COUNTIF(K133, "*FAC.C*")&gt;0, COUNTIF(J133, "*チャージ*")&gt;0, COUNTIF(J133, "*ギフト*")&gt;0), IFERROR(_xlfn.XLOOKUP(B133, $B$1:B132, $AB$1:AB132, 0, 0, -1), 0), IFERROR(ROUND(_xlfn.XLOOKUP(B133, $B$1:B132, $AB$1:AB132, 0, 0, -1) * 0.9 + P133 * 0.1, 0), ""))</f>
        <v>500</v>
      </c>
      <c r="AC133" t="s">
        <v>53</v>
      </c>
    </row>
    <row r="134" spans="1:29" x14ac:dyDescent="0.2">
      <c r="A134" t="s">
        <v>321</v>
      </c>
      <c r="B134" t="s">
        <v>322</v>
      </c>
      <c r="C134" t="s">
        <v>32</v>
      </c>
      <c r="D134" t="s">
        <v>323</v>
      </c>
      <c r="E134" t="s">
        <v>324</v>
      </c>
      <c r="F134" t="s">
        <v>90</v>
      </c>
      <c r="G134" t="s">
        <v>325</v>
      </c>
      <c r="H134" t="s">
        <v>59</v>
      </c>
      <c r="I134" s="2">
        <v>46126</v>
      </c>
      <c r="J134" t="s">
        <v>620</v>
      </c>
      <c r="K134" t="s">
        <v>795</v>
      </c>
      <c r="L134" t="s">
        <v>125</v>
      </c>
      <c r="M134" t="s">
        <v>250</v>
      </c>
      <c r="N134" t="s">
        <v>115</v>
      </c>
      <c r="O134" t="s">
        <v>545</v>
      </c>
      <c r="P134" t="s">
        <v>546</v>
      </c>
      <c r="Q134" t="s">
        <v>42</v>
      </c>
      <c r="R134" t="s">
        <v>43</v>
      </c>
      <c r="S134" t="s">
        <v>44</v>
      </c>
      <c r="T134" t="s">
        <v>329</v>
      </c>
      <c r="U134" t="s">
        <v>221</v>
      </c>
      <c r="V134" t="s">
        <v>778</v>
      </c>
      <c r="W134" t="s">
        <v>48</v>
      </c>
      <c r="X134" t="s">
        <v>49</v>
      </c>
      <c r="Y134" t="s">
        <v>82</v>
      </c>
      <c r="Z134" t="s">
        <v>70</v>
      </c>
      <c r="AA134" t="s">
        <v>128</v>
      </c>
      <c r="AB134" cm="1">
        <f t="array" ref="AB134">IF(OR(COUNTIF(K134, "*FAC.C*")&gt;0, COUNTIF(J134, "*チャージ*")&gt;0, COUNTIF(J134, "*ギフト*")&gt;0), IFERROR(_xlfn.XLOOKUP(B134, $B$1:B133, $AB$1:AB133, 0, 0, -1), 0), IFERROR(ROUND(_xlfn.XLOOKUP(B134, $B$1:B133, $AB$1:AB133, 0, 0, -1) * 0.9 + P134 * 0.1, 0), ""))</f>
        <v>7747</v>
      </c>
      <c r="AC134" t="s">
        <v>53</v>
      </c>
    </row>
    <row r="135" spans="1:29" x14ac:dyDescent="0.2">
      <c r="A135" t="s">
        <v>330</v>
      </c>
      <c r="B135" t="s">
        <v>331</v>
      </c>
      <c r="C135" t="s">
        <v>29</v>
      </c>
      <c r="D135" t="s">
        <v>56</v>
      </c>
      <c r="E135" t="s">
        <v>332</v>
      </c>
      <c r="F135" t="s">
        <v>32</v>
      </c>
      <c r="G135" t="s">
        <v>333</v>
      </c>
      <c r="H135" t="s">
        <v>77</v>
      </c>
      <c r="I135" s="2">
        <v>46126</v>
      </c>
      <c r="J135" t="s">
        <v>626</v>
      </c>
      <c r="K135" t="s">
        <v>1050</v>
      </c>
      <c r="L135" t="s">
        <v>62</v>
      </c>
      <c r="N135" t="s">
        <v>115</v>
      </c>
      <c r="O135" t="s">
        <v>1053</v>
      </c>
      <c r="P135">
        <v>546</v>
      </c>
      <c r="Q135" t="s">
        <v>42</v>
      </c>
      <c r="R135" t="s">
        <v>43</v>
      </c>
      <c r="S135" t="s">
        <v>44</v>
      </c>
      <c r="T135" t="s">
        <v>67</v>
      </c>
      <c r="U135" t="s">
        <v>200</v>
      </c>
      <c r="W135" t="s">
        <v>48</v>
      </c>
      <c r="X135" t="s">
        <v>49</v>
      </c>
      <c r="Y135" t="s">
        <v>69</v>
      </c>
      <c r="Z135" t="s">
        <v>83</v>
      </c>
      <c r="AA135" t="s">
        <v>1048</v>
      </c>
      <c r="AB135" cm="1">
        <f t="array" ref="AB135">IF(OR(COUNTIF(K135, "*FAC.C*")&gt;0, COUNTIF(J135, "*チャージ*")&gt;0, COUNTIF(J135, "*ギフト*")&gt;0), IFERROR(_xlfn.XLOOKUP(B135, $B$1:B134, $AB$1:AB134, 0, 0, -1), 0), IFERROR(ROUND(_xlfn.XLOOKUP(B135, $B$1:B134, $AB$1:AB134, 0, 0, -1) * 0.9 + P135 * 0.1, 0), ""))</f>
        <v>763</v>
      </c>
      <c r="AC135" t="s">
        <v>85</v>
      </c>
    </row>
    <row r="136" spans="1:29" x14ac:dyDescent="0.2">
      <c r="A136" t="s">
        <v>336</v>
      </c>
      <c r="B136" t="s">
        <v>337</v>
      </c>
      <c r="C136" t="s">
        <v>29</v>
      </c>
      <c r="D136" t="s">
        <v>338</v>
      </c>
      <c r="E136" t="s">
        <v>204</v>
      </c>
      <c r="F136" t="s">
        <v>145</v>
      </c>
      <c r="G136" t="s">
        <v>339</v>
      </c>
      <c r="H136" t="s">
        <v>59</v>
      </c>
      <c r="I136" s="2">
        <v>46126</v>
      </c>
      <c r="J136" t="s">
        <v>633</v>
      </c>
      <c r="K136" t="s">
        <v>796</v>
      </c>
      <c r="L136" t="s">
        <v>125</v>
      </c>
      <c r="M136" t="s">
        <v>1121</v>
      </c>
      <c r="N136" t="s">
        <v>1106</v>
      </c>
      <c r="O136" t="s">
        <v>1123</v>
      </c>
      <c r="P136">
        <v>15000</v>
      </c>
      <c r="Q136" t="s">
        <v>42</v>
      </c>
      <c r="R136" t="s">
        <v>43</v>
      </c>
      <c r="S136" t="s">
        <v>44</v>
      </c>
      <c r="T136" t="s">
        <v>341</v>
      </c>
      <c r="U136" t="s">
        <v>200</v>
      </c>
      <c r="V136" s="2">
        <v>46084</v>
      </c>
      <c r="W136" t="s">
        <v>48</v>
      </c>
      <c r="X136" t="s">
        <v>49</v>
      </c>
      <c r="Y136" t="s">
        <v>82</v>
      </c>
      <c r="Z136">
        <v>16</v>
      </c>
      <c r="AA136" t="s">
        <v>107</v>
      </c>
      <c r="AB136" cm="1">
        <f t="array" ref="AB136">IF(OR(COUNTIF(K136, "*FAC.C*")&gt;0, COUNTIF(J136, "*チャージ*")&gt;0, COUNTIF(J136, "*ギフト*")&gt;0), IFERROR(_xlfn.XLOOKUP(B136, $B$1:B135, $AB$1:AB135, 0, 0, -1), 0), IFERROR(ROUND(_xlfn.XLOOKUP(B136, $B$1:B135, $AB$1:AB135, 0, 0, -1) * 0.9 + P136 * 0.1, 0), ""))</f>
        <v>15000</v>
      </c>
      <c r="AC136" t="s">
        <v>53</v>
      </c>
    </row>
    <row r="137" spans="1:29" x14ac:dyDescent="0.2">
      <c r="A137" t="s">
        <v>342</v>
      </c>
      <c r="B137" t="s">
        <v>343</v>
      </c>
      <c r="C137" t="s">
        <v>145</v>
      </c>
      <c r="D137" t="s">
        <v>100</v>
      </c>
      <c r="E137" t="s">
        <v>284</v>
      </c>
      <c r="F137" t="s">
        <v>145</v>
      </c>
      <c r="G137" t="s">
        <v>344</v>
      </c>
      <c r="H137" t="s">
        <v>34</v>
      </c>
      <c r="I137" s="2">
        <v>46126</v>
      </c>
      <c r="J137" s="1">
        <v>0.89855324074074072</v>
      </c>
      <c r="K137" t="s">
        <v>797</v>
      </c>
      <c r="L137" t="s">
        <v>137</v>
      </c>
      <c r="M137" t="s">
        <v>1145</v>
      </c>
      <c r="N137" t="s">
        <v>115</v>
      </c>
      <c r="O137" t="s">
        <v>1147</v>
      </c>
      <c r="P137">
        <v>3680</v>
      </c>
      <c r="Q137" t="s">
        <v>42</v>
      </c>
      <c r="R137" t="s">
        <v>43</v>
      </c>
      <c r="S137" t="s">
        <v>44</v>
      </c>
      <c r="T137" t="s">
        <v>106</v>
      </c>
      <c r="U137" t="s">
        <v>1131</v>
      </c>
      <c r="V137" s="2">
        <v>44109</v>
      </c>
      <c r="W137" t="s">
        <v>48</v>
      </c>
      <c r="X137" t="s">
        <v>49</v>
      </c>
      <c r="Y137" t="s">
        <v>142</v>
      </c>
      <c r="Z137">
        <v>16</v>
      </c>
      <c r="AA137" t="s">
        <v>128</v>
      </c>
      <c r="AB137" cm="1">
        <f t="array" ref="AB137">IF(OR(COUNTIF(K137, "*FAC.C*")&gt;0, COUNTIF(J137, "*チャージ*")&gt;0, COUNTIF(J137, "*ギフト*")&gt;0), IFERROR(_xlfn.XLOOKUP(B137, $B$1:B136, $AB$1:AB136, 0, 0, -1), 0), IFERROR(ROUND(_xlfn.XLOOKUP(B137, $B$1:B136, $AB$1:AB136, 0, 0, -1) * 0.9 + P137 * 0.1, 0), ""))</f>
        <v>699</v>
      </c>
      <c r="AC137" t="s">
        <v>53</v>
      </c>
    </row>
    <row r="138" spans="1:29" x14ac:dyDescent="0.2">
      <c r="A138" t="s">
        <v>347</v>
      </c>
      <c r="B138" t="s">
        <v>348</v>
      </c>
      <c r="C138" t="s">
        <v>145</v>
      </c>
      <c r="D138" t="s">
        <v>349</v>
      </c>
      <c r="E138" t="s">
        <v>350</v>
      </c>
      <c r="F138" t="s">
        <v>29</v>
      </c>
      <c r="G138" t="s">
        <v>351</v>
      </c>
      <c r="H138" t="s">
        <v>34</v>
      </c>
      <c r="I138" s="2">
        <v>46126</v>
      </c>
      <c r="J138" t="s">
        <v>645</v>
      </c>
      <c r="K138" t="s">
        <v>798</v>
      </c>
      <c r="L138" t="s">
        <v>113</v>
      </c>
      <c r="M138" t="s">
        <v>38</v>
      </c>
      <c r="N138" t="s">
        <v>39</v>
      </c>
      <c r="O138" t="s">
        <v>228</v>
      </c>
      <c r="P138" t="s">
        <v>160</v>
      </c>
      <c r="Q138" t="s">
        <v>42</v>
      </c>
      <c r="R138" t="s">
        <v>43</v>
      </c>
      <c r="S138" t="s">
        <v>44</v>
      </c>
      <c r="T138" t="s">
        <v>354</v>
      </c>
      <c r="U138" t="s">
        <v>97</v>
      </c>
      <c r="V138" t="s">
        <v>778</v>
      </c>
      <c r="W138" t="s">
        <v>48</v>
      </c>
      <c r="X138" t="s">
        <v>49</v>
      </c>
      <c r="Y138" t="s">
        <v>50</v>
      </c>
      <c r="Z138" t="s">
        <v>51</v>
      </c>
      <c r="AA138" t="s">
        <v>52</v>
      </c>
      <c r="AB138" cm="1">
        <f t="array" ref="AB138">IF(OR(COUNTIF(K138, "*FAC.C*")&gt;0, COUNTIF(J138, "*チャージ*")&gt;0, COUNTIF(J138, "*ギフト*")&gt;0), IFERROR(_xlfn.XLOOKUP(B138, $B$1:B137, $AB$1:AB137, 0, 0, -1), 0), IFERROR(ROUND(_xlfn.XLOOKUP(B138, $B$1:B137, $AB$1:AB137, 0, 0, -1) * 0.9 + P138 * 0.1, 0), ""))</f>
        <v>4849</v>
      </c>
      <c r="AC138" t="s">
        <v>85</v>
      </c>
    </row>
    <row r="139" spans="1:29" x14ac:dyDescent="0.2">
      <c r="A139" t="s">
        <v>355</v>
      </c>
      <c r="B139" t="s">
        <v>356</v>
      </c>
      <c r="C139" t="s">
        <v>29</v>
      </c>
      <c r="D139" t="s">
        <v>357</v>
      </c>
      <c r="E139" t="s">
        <v>358</v>
      </c>
      <c r="F139" t="s">
        <v>173</v>
      </c>
      <c r="G139" t="s">
        <v>359</v>
      </c>
      <c r="H139" t="s">
        <v>134</v>
      </c>
      <c r="I139" s="2">
        <v>46126</v>
      </c>
      <c r="J139" t="s">
        <v>651</v>
      </c>
      <c r="K139" t="s">
        <v>799</v>
      </c>
      <c r="L139" t="s">
        <v>62</v>
      </c>
      <c r="M139" t="s">
        <v>138</v>
      </c>
      <c r="N139" t="s">
        <v>39</v>
      </c>
      <c r="O139" t="s">
        <v>304</v>
      </c>
      <c r="P139" t="s">
        <v>41</v>
      </c>
      <c r="Q139" t="s">
        <v>42</v>
      </c>
      <c r="R139" t="s">
        <v>43</v>
      </c>
      <c r="S139" t="s">
        <v>44</v>
      </c>
      <c r="T139" t="s">
        <v>364</v>
      </c>
      <c r="U139" t="s">
        <v>221</v>
      </c>
      <c r="V139" t="s">
        <v>778</v>
      </c>
      <c r="W139" t="s">
        <v>48</v>
      </c>
      <c r="X139" t="s">
        <v>49</v>
      </c>
      <c r="Y139" t="s">
        <v>69</v>
      </c>
      <c r="Z139" t="s">
        <v>51</v>
      </c>
      <c r="AA139" t="s">
        <v>107</v>
      </c>
      <c r="AB139" cm="1">
        <f t="array" ref="AB139">IF(OR(COUNTIF(K139, "*FAC.C*")&gt;0, COUNTIF(J139, "*チャージ*")&gt;0, COUNTIF(J139, "*ギフト*")&gt;0), IFERROR(_xlfn.XLOOKUP(B139, $B$1:B138, $AB$1:AB138, 0, 0, -1), 0), IFERROR(ROUND(_xlfn.XLOOKUP(B139, $B$1:B138, $AB$1:AB138, 0, 0, -1) * 0.9 + P139 * 0.1, 0), ""))</f>
        <v>7207</v>
      </c>
      <c r="AC139" t="s">
        <v>85</v>
      </c>
    </row>
    <row r="140" spans="1:29" x14ac:dyDescent="0.2">
      <c r="A140" t="s">
        <v>365</v>
      </c>
      <c r="B140" t="s">
        <v>366</v>
      </c>
      <c r="C140" t="s">
        <v>32</v>
      </c>
      <c r="D140" t="s">
        <v>367</v>
      </c>
      <c r="E140" t="s">
        <v>368</v>
      </c>
      <c r="F140" t="s">
        <v>145</v>
      </c>
      <c r="G140" t="s">
        <v>369</v>
      </c>
      <c r="H140" t="s">
        <v>34</v>
      </c>
      <c r="I140" s="2">
        <v>46126</v>
      </c>
      <c r="J140" t="s">
        <v>658</v>
      </c>
      <c r="K140" t="s">
        <v>800</v>
      </c>
      <c r="L140" t="s">
        <v>37</v>
      </c>
      <c r="M140" t="s">
        <v>236</v>
      </c>
      <c r="N140" t="s">
        <v>115</v>
      </c>
      <c r="O140" t="s">
        <v>346</v>
      </c>
      <c r="P140" t="s">
        <v>117</v>
      </c>
      <c r="Q140" t="s">
        <v>42</v>
      </c>
      <c r="R140" t="s">
        <v>43</v>
      </c>
      <c r="S140" t="s">
        <v>44</v>
      </c>
      <c r="T140" t="s">
        <v>372</v>
      </c>
      <c r="U140" t="s">
        <v>68</v>
      </c>
      <c r="V140" t="s">
        <v>778</v>
      </c>
      <c r="W140" t="s">
        <v>48</v>
      </c>
      <c r="X140" t="s">
        <v>49</v>
      </c>
      <c r="Y140" t="s">
        <v>69</v>
      </c>
      <c r="Z140" t="s">
        <v>51</v>
      </c>
      <c r="AA140" t="s">
        <v>52</v>
      </c>
      <c r="AB140" cm="1">
        <f t="array" ref="AB140">IF(OR(COUNTIF(K140, "*FAC.C*")&gt;0, COUNTIF(J140, "*チャージ*")&gt;0, COUNTIF(J140, "*ギフト*")&gt;0), IFERROR(_xlfn.XLOOKUP(B140, $B$1:B139, $AB$1:AB139, 0, 0, -1), 0), IFERROR(ROUND(_xlfn.XLOOKUP(B140, $B$1:B139, $AB$1:AB139, 0, 0, -1) * 0.9 + P140 * 0.1, 0), ""))</f>
        <v>2378</v>
      </c>
      <c r="AC140" t="s">
        <v>53</v>
      </c>
    </row>
    <row r="141" spans="1:29" x14ac:dyDescent="0.2">
      <c r="A141" t="s">
        <v>86</v>
      </c>
      <c r="B141" t="s">
        <v>87</v>
      </c>
      <c r="C141" t="s">
        <v>32</v>
      </c>
      <c r="D141" t="s">
        <v>88</v>
      </c>
      <c r="E141" t="s">
        <v>89</v>
      </c>
      <c r="F141">
        <v>1</v>
      </c>
      <c r="G141" t="s">
        <v>91</v>
      </c>
      <c r="H141" t="s">
        <v>77</v>
      </c>
      <c r="I141" s="2">
        <v>46126</v>
      </c>
      <c r="J141" t="s">
        <v>664</v>
      </c>
      <c r="K141" t="s">
        <v>801</v>
      </c>
      <c r="L141" t="s">
        <v>80</v>
      </c>
      <c r="M141" t="s">
        <v>1084</v>
      </c>
      <c r="N141" t="s">
        <v>1072</v>
      </c>
      <c r="O141" t="s">
        <v>94</v>
      </c>
      <c r="P141" t="s">
        <v>95</v>
      </c>
      <c r="Q141" t="s">
        <v>42</v>
      </c>
      <c r="R141" t="s">
        <v>43</v>
      </c>
      <c r="S141" t="s">
        <v>44</v>
      </c>
      <c r="T141" t="s">
        <v>96</v>
      </c>
      <c r="U141" t="s">
        <v>200</v>
      </c>
      <c r="V141" t="s">
        <v>778</v>
      </c>
      <c r="W141" t="s">
        <v>48</v>
      </c>
      <c r="X141" t="s">
        <v>49</v>
      </c>
      <c r="Z141">
        <v>14</v>
      </c>
      <c r="AA141" t="s">
        <v>52</v>
      </c>
      <c r="AB141" cm="1">
        <f t="array" ref="AB141">IF(OR(COUNTIF(K141, "*FAC.C*")&gt;0, COUNTIF(J141, "*チャージ*")&gt;0, COUNTIF(J141, "*ギフト*")&gt;0), IFERROR(_xlfn.XLOOKUP(B141, $B$1:B140, $AB$1:AB140, 0, 0, -1), 0), IFERROR(ROUND(_xlfn.XLOOKUP(B141, $B$1:B140, $AB$1:AB140, 0, 0, -1) * 0.9 + P141 * 0.1, 0), ""))</f>
        <v>980</v>
      </c>
      <c r="AC141" t="s">
        <v>1075</v>
      </c>
    </row>
    <row r="142" spans="1:29" x14ac:dyDescent="0.2">
      <c r="A142" t="s">
        <v>98</v>
      </c>
      <c r="B142" t="s">
        <v>99</v>
      </c>
      <c r="C142" t="s">
        <v>29</v>
      </c>
      <c r="D142" t="s">
        <v>100</v>
      </c>
      <c r="E142" t="s">
        <v>101</v>
      </c>
      <c r="F142" t="s">
        <v>90</v>
      </c>
      <c r="G142" s="4" t="s">
        <v>102</v>
      </c>
      <c r="H142" t="s">
        <v>34</v>
      </c>
      <c r="I142" s="2">
        <v>46127</v>
      </c>
      <c r="J142" s="1">
        <v>0.37869212962962961</v>
      </c>
      <c r="K142" t="s">
        <v>803</v>
      </c>
      <c r="L142" t="s">
        <v>113</v>
      </c>
      <c r="M142" t="s">
        <v>1060</v>
      </c>
      <c r="N142" t="s">
        <v>1034</v>
      </c>
      <c r="O142" t="s">
        <v>1062</v>
      </c>
      <c r="P142">
        <v>4900</v>
      </c>
      <c r="Q142" t="s">
        <v>42</v>
      </c>
      <c r="R142" t="s">
        <v>43</v>
      </c>
      <c r="S142" t="s">
        <v>44</v>
      </c>
      <c r="T142" t="s">
        <v>106</v>
      </c>
      <c r="U142" t="s">
        <v>200</v>
      </c>
      <c r="V142" s="2">
        <v>44633</v>
      </c>
      <c r="W142" t="s">
        <v>48</v>
      </c>
      <c r="X142" t="s">
        <v>49</v>
      </c>
      <c r="Z142">
        <v>14</v>
      </c>
      <c r="AA142" t="s">
        <v>1065</v>
      </c>
      <c r="AB142" cm="1">
        <f t="array" ref="AB142">IF(OR(COUNTIF(K142, "*FAC.C*")&gt;0, COUNTIF(J142, "*チャージ*")&gt;0, COUNTIF(J142, "*ギフト*")&gt;0), IFERROR(_xlfn.XLOOKUP(B142, $B$1:B141, $AB$1:AB141, 0, 0, -1), 0), IFERROR(ROUND(_xlfn.XLOOKUP(B142, $B$1:B141, $AB$1:AB141, 0, 0, -1) * 0.9 + P142 * 0.1, 0), ""))</f>
        <v>18698</v>
      </c>
      <c r="AC142" t="s">
        <v>85</v>
      </c>
    </row>
    <row r="143" spans="1:29" x14ac:dyDescent="0.2">
      <c r="A143" t="s">
        <v>108</v>
      </c>
      <c r="B143" t="s">
        <v>109</v>
      </c>
      <c r="C143">
        <v>1</v>
      </c>
      <c r="D143" t="s">
        <v>110</v>
      </c>
      <c r="E143" t="s">
        <v>111</v>
      </c>
      <c r="F143">
        <v>1</v>
      </c>
      <c r="G143" t="s">
        <v>112</v>
      </c>
      <c r="H143" t="s">
        <v>34</v>
      </c>
      <c r="I143" s="2">
        <v>46127</v>
      </c>
      <c r="J143" s="1">
        <v>0.81657407407407412</v>
      </c>
      <c r="K143" t="s">
        <v>1112</v>
      </c>
      <c r="L143" t="s">
        <v>1079</v>
      </c>
      <c r="N143" t="s">
        <v>115</v>
      </c>
      <c r="O143" t="s">
        <v>1115</v>
      </c>
      <c r="P143">
        <v>704</v>
      </c>
      <c r="Q143" t="s">
        <v>42</v>
      </c>
      <c r="R143" t="s">
        <v>43</v>
      </c>
      <c r="S143" t="s">
        <v>44</v>
      </c>
      <c r="T143" t="s">
        <v>118</v>
      </c>
      <c r="U143" t="s">
        <v>97</v>
      </c>
      <c r="W143" t="s">
        <v>48</v>
      </c>
      <c r="X143" t="s">
        <v>49</v>
      </c>
      <c r="Z143">
        <v>16</v>
      </c>
      <c r="AA143" t="s">
        <v>71</v>
      </c>
      <c r="AB143" cm="1">
        <f t="array" ref="AB143">IF(OR(COUNTIF(K143, "*FAC.C*")&gt;0, COUNTIF(J143, "*チャージ*")&gt;0, COUNTIF(J143, "*ギフト*")&gt;0), IFERROR(_xlfn.XLOOKUP(B143, $B$1:B142, $AB$1:AB142, 0, 0, -1), 0), IFERROR(ROUND(_xlfn.XLOOKUP(B143, $B$1:B142, $AB$1:AB142, 0, 0, -1) * 0.9 + P143 * 0.1, 0), ""))</f>
        <v>235</v>
      </c>
      <c r="AC143" t="s">
        <v>53</v>
      </c>
    </row>
    <row r="144" spans="1:29" x14ac:dyDescent="0.2">
      <c r="A144" t="s">
        <v>119</v>
      </c>
      <c r="B144" t="s">
        <v>120</v>
      </c>
      <c r="C144" t="s">
        <v>29</v>
      </c>
      <c r="D144" t="s">
        <v>100</v>
      </c>
      <c r="E144" t="s">
        <v>121</v>
      </c>
      <c r="F144" t="s">
        <v>32</v>
      </c>
      <c r="G144" t="s">
        <v>122</v>
      </c>
      <c r="H144" t="s">
        <v>34</v>
      </c>
      <c r="I144" s="2">
        <v>46127</v>
      </c>
      <c r="J144" t="s">
        <v>678</v>
      </c>
      <c r="K144" t="s">
        <v>804</v>
      </c>
      <c r="L144" t="s">
        <v>125</v>
      </c>
      <c r="M144" t="s">
        <v>63</v>
      </c>
      <c r="N144" t="s">
        <v>1034</v>
      </c>
      <c r="O144" t="s">
        <v>1059</v>
      </c>
      <c r="P144">
        <v>10000</v>
      </c>
      <c r="Q144" t="s">
        <v>42</v>
      </c>
      <c r="R144" t="s">
        <v>43</v>
      </c>
      <c r="S144" t="s">
        <v>44</v>
      </c>
      <c r="T144" t="s">
        <v>106</v>
      </c>
      <c r="U144" t="s">
        <v>221</v>
      </c>
      <c r="V144" s="2">
        <v>45245</v>
      </c>
      <c r="W144" t="s">
        <v>48</v>
      </c>
      <c r="X144" t="s">
        <v>49</v>
      </c>
      <c r="Y144" t="s">
        <v>82</v>
      </c>
      <c r="Z144" t="s">
        <v>70</v>
      </c>
      <c r="AA144" t="s">
        <v>128</v>
      </c>
      <c r="AB144" cm="1">
        <f t="array" ref="AB144">IF(OR(COUNTIF(K144, "*FAC.C*")&gt;0, COUNTIF(J144, "*チャージ*")&gt;0, COUNTIF(J144, "*ギフト*")&gt;0), IFERROR(_xlfn.XLOOKUP(B144, $B$1:B143, $AB$1:AB143, 0, 0, -1), 0), IFERROR(ROUND(_xlfn.XLOOKUP(B144, $B$1:B143, $AB$1:AB143, 0, 0, -1) * 0.9 + P144 * 0.1, 0), ""))</f>
        <v>1540</v>
      </c>
      <c r="AC144" t="s">
        <v>85</v>
      </c>
    </row>
    <row r="145" spans="1:29" x14ac:dyDescent="0.2">
      <c r="A145" t="s">
        <v>129</v>
      </c>
      <c r="B145" t="s">
        <v>130</v>
      </c>
      <c r="C145" t="s">
        <v>29</v>
      </c>
      <c r="D145" t="s">
        <v>131</v>
      </c>
      <c r="E145" t="s">
        <v>132</v>
      </c>
      <c r="F145" t="s">
        <v>29</v>
      </c>
      <c r="G145" t="s">
        <v>133</v>
      </c>
      <c r="H145" t="s">
        <v>134</v>
      </c>
      <c r="I145" s="2">
        <v>46127</v>
      </c>
      <c r="J145" t="s">
        <v>682</v>
      </c>
      <c r="K145" t="s">
        <v>805</v>
      </c>
      <c r="L145" t="s">
        <v>137</v>
      </c>
      <c r="M145" t="s">
        <v>138</v>
      </c>
      <c r="N145" t="s">
        <v>1182</v>
      </c>
      <c r="O145" t="s">
        <v>1183</v>
      </c>
      <c r="P145">
        <v>480</v>
      </c>
      <c r="Q145" t="s">
        <v>42</v>
      </c>
      <c r="R145" t="s">
        <v>43</v>
      </c>
      <c r="S145" t="s">
        <v>44</v>
      </c>
      <c r="T145" t="s">
        <v>141</v>
      </c>
      <c r="U145" t="s">
        <v>68</v>
      </c>
      <c r="V145" s="2">
        <v>43921</v>
      </c>
      <c r="W145" t="s">
        <v>48</v>
      </c>
      <c r="X145" t="s">
        <v>49</v>
      </c>
      <c r="Y145" t="s">
        <v>142</v>
      </c>
      <c r="Z145">
        <v>16</v>
      </c>
      <c r="AA145" t="s">
        <v>52</v>
      </c>
      <c r="AB145" cm="1">
        <f t="array" ref="AB145">IF(OR(COUNTIF(K145, "*FAC.C*")&gt;0, COUNTIF(J145, "*チャージ*")&gt;0, COUNTIF(J145, "*ギフト*")&gt;0), IFERROR(_xlfn.XLOOKUP(B145, $B$1:B144, $AB$1:AB144, 0, 0, -1), 0), IFERROR(ROUND(_xlfn.XLOOKUP(B145, $B$1:B144, $AB$1:AB144, 0, 0, -1) * 0.9 + P145 * 0.1, 0), ""))</f>
        <v>480</v>
      </c>
      <c r="AC145" t="s">
        <v>53</v>
      </c>
    </row>
    <row r="146" spans="1:29" x14ac:dyDescent="0.2">
      <c r="A146" t="s">
        <v>143</v>
      </c>
      <c r="B146" t="s">
        <v>144</v>
      </c>
      <c r="C146" t="s">
        <v>145</v>
      </c>
      <c r="D146" t="s">
        <v>146</v>
      </c>
      <c r="E146" t="s">
        <v>147</v>
      </c>
      <c r="F146">
        <v>2</v>
      </c>
      <c r="G146" t="s">
        <v>148</v>
      </c>
      <c r="H146" t="s">
        <v>77</v>
      </c>
      <c r="I146" s="2">
        <v>46127</v>
      </c>
      <c r="J146" s="1">
        <v>0.50883101851851853</v>
      </c>
      <c r="K146" t="s">
        <v>806</v>
      </c>
      <c r="L146" t="s">
        <v>1097</v>
      </c>
      <c r="M146" t="s">
        <v>104</v>
      </c>
      <c r="N146" t="s">
        <v>1099</v>
      </c>
      <c r="O146" t="s">
        <v>1100</v>
      </c>
      <c r="P146">
        <v>480</v>
      </c>
      <c r="S146" t="s">
        <v>44</v>
      </c>
      <c r="T146" t="s">
        <v>150</v>
      </c>
      <c r="U146" t="s">
        <v>97</v>
      </c>
      <c r="V146" s="2">
        <v>44651</v>
      </c>
      <c r="W146" t="s">
        <v>48</v>
      </c>
      <c r="X146" t="s">
        <v>49</v>
      </c>
      <c r="Z146">
        <v>16</v>
      </c>
      <c r="AA146" t="s">
        <v>84</v>
      </c>
      <c r="AB146" cm="1">
        <f t="array" ref="AB146">IF(OR(COUNTIF(K146, "*FAC.C*")&gt;0, COUNTIF(J146, "*チャージ*")&gt;0, COUNTIF(J146, "*ギフト*")&gt;0), IFERROR(_xlfn.XLOOKUP(B146, $B$1:B145, $AB$1:AB145, 0, 0, -1), 0), IFERROR(ROUND(_xlfn.XLOOKUP(B146, $B$1:B145, $AB$1:AB145, 0, 0, -1) * 0.9 + P146 * 0.1, 0), ""))</f>
        <v>541</v>
      </c>
      <c r="AC146" t="s">
        <v>53</v>
      </c>
    </row>
    <row r="147" spans="1:29" x14ac:dyDescent="0.2">
      <c r="A147" t="s">
        <v>151</v>
      </c>
      <c r="B147" t="s">
        <v>152</v>
      </c>
      <c r="C147" t="s">
        <v>32</v>
      </c>
      <c r="D147" t="s">
        <v>153</v>
      </c>
      <c r="E147" t="s">
        <v>154</v>
      </c>
      <c r="F147" t="s">
        <v>90</v>
      </c>
      <c r="G147" t="s">
        <v>155</v>
      </c>
      <c r="H147" t="s">
        <v>77</v>
      </c>
      <c r="I147" s="2">
        <v>46127</v>
      </c>
      <c r="J147" t="s">
        <v>690</v>
      </c>
      <c r="K147" t="s">
        <v>807</v>
      </c>
      <c r="L147" t="s">
        <v>62</v>
      </c>
      <c r="M147" t="s">
        <v>114</v>
      </c>
      <c r="N147" t="s">
        <v>115</v>
      </c>
      <c r="O147" t="s">
        <v>398</v>
      </c>
      <c r="P147" t="s">
        <v>198</v>
      </c>
      <c r="Q147" t="s">
        <v>42</v>
      </c>
      <c r="R147" t="s">
        <v>43</v>
      </c>
      <c r="S147" t="s">
        <v>44</v>
      </c>
      <c r="T147" t="s">
        <v>161</v>
      </c>
      <c r="U147" t="s">
        <v>46</v>
      </c>
      <c r="V147" t="s">
        <v>793</v>
      </c>
      <c r="W147" t="s">
        <v>48</v>
      </c>
      <c r="X147" t="s">
        <v>49</v>
      </c>
      <c r="Y147" t="s">
        <v>69</v>
      </c>
      <c r="Z147" t="s">
        <v>70</v>
      </c>
      <c r="AA147" t="s">
        <v>71</v>
      </c>
      <c r="AB147" cm="1">
        <f t="array" ref="AB147">IF(OR(COUNTIF(K147, "*FAC.C*")&gt;0, COUNTIF(J147, "*チャージ*")&gt;0, COUNTIF(J147, "*ギフト*")&gt;0), IFERROR(_xlfn.XLOOKUP(B147, $B$1:B146, $AB$1:AB146, 0, 0, -1), 0), IFERROR(ROUND(_xlfn.XLOOKUP(B147, $B$1:B146, $AB$1:AB146, 0, 0, -1) * 0.9 + P147 * 0.1, 0), ""))</f>
        <v>4967</v>
      </c>
      <c r="AC147" t="s">
        <v>53</v>
      </c>
    </row>
    <row r="148" spans="1:29" x14ac:dyDescent="0.2">
      <c r="A148" t="s">
        <v>162</v>
      </c>
      <c r="B148" t="s">
        <v>163</v>
      </c>
      <c r="C148" t="s">
        <v>145</v>
      </c>
      <c r="D148" t="s">
        <v>164</v>
      </c>
      <c r="E148" t="s">
        <v>165</v>
      </c>
      <c r="F148" t="s">
        <v>145</v>
      </c>
      <c r="G148" t="s">
        <v>166</v>
      </c>
      <c r="H148" t="s">
        <v>34</v>
      </c>
      <c r="I148" s="2">
        <v>46127</v>
      </c>
      <c r="J148" t="s">
        <v>693</v>
      </c>
      <c r="K148" t="s">
        <v>808</v>
      </c>
      <c r="L148" t="s">
        <v>113</v>
      </c>
      <c r="M148" t="s">
        <v>236</v>
      </c>
      <c r="N148" t="s">
        <v>115</v>
      </c>
      <c r="O148" t="s">
        <v>237</v>
      </c>
      <c r="P148" t="s">
        <v>238</v>
      </c>
      <c r="Q148" t="s">
        <v>42</v>
      </c>
      <c r="R148" t="s">
        <v>43</v>
      </c>
      <c r="S148" t="s">
        <v>44</v>
      </c>
      <c r="T148" t="s">
        <v>170</v>
      </c>
      <c r="U148" t="s">
        <v>97</v>
      </c>
      <c r="V148" t="s">
        <v>793</v>
      </c>
      <c r="W148" t="s">
        <v>48</v>
      </c>
      <c r="X148" t="s">
        <v>49</v>
      </c>
      <c r="Y148" t="s">
        <v>69</v>
      </c>
      <c r="Z148" t="s">
        <v>83</v>
      </c>
      <c r="AA148" t="s">
        <v>84</v>
      </c>
      <c r="AB148" cm="1">
        <f t="array" ref="AB148">IF(OR(COUNTIF(K148, "*FAC.C*")&gt;0, COUNTIF(J148, "*チャージ*")&gt;0, COUNTIF(J148, "*ギフト*")&gt;0), IFERROR(_xlfn.XLOOKUP(B148, $B$1:B147, $AB$1:AB147, 0, 0, -1), 0), IFERROR(ROUND(_xlfn.XLOOKUP(B148, $B$1:B147, $AB$1:AB147, 0, 0, -1) * 0.9 + P148 * 0.1, 0), ""))</f>
        <v>4303</v>
      </c>
      <c r="AC148" t="s">
        <v>85</v>
      </c>
    </row>
    <row r="149" spans="1:29" x14ac:dyDescent="0.2">
      <c r="A149" t="s">
        <v>171</v>
      </c>
      <c r="B149" t="s">
        <v>172</v>
      </c>
      <c r="C149" t="s">
        <v>173</v>
      </c>
      <c r="D149" t="s">
        <v>174</v>
      </c>
      <c r="E149" t="s">
        <v>175</v>
      </c>
      <c r="F149" t="s">
        <v>32</v>
      </c>
      <c r="G149" t="s">
        <v>176</v>
      </c>
      <c r="H149" t="s">
        <v>59</v>
      </c>
      <c r="I149" s="2">
        <v>46127</v>
      </c>
      <c r="J149" t="s">
        <v>449</v>
      </c>
      <c r="K149" t="s">
        <v>809</v>
      </c>
      <c r="L149" t="s">
        <v>62</v>
      </c>
      <c r="M149" t="s">
        <v>518</v>
      </c>
      <c r="N149" t="s">
        <v>1028</v>
      </c>
      <c r="O149" t="s">
        <v>749</v>
      </c>
      <c r="P149" t="s">
        <v>363</v>
      </c>
      <c r="Q149" t="s">
        <v>42</v>
      </c>
      <c r="R149" t="s">
        <v>43</v>
      </c>
      <c r="S149" t="s">
        <v>44</v>
      </c>
      <c r="T149" t="s">
        <v>180</v>
      </c>
      <c r="U149" t="s">
        <v>97</v>
      </c>
      <c r="V149" s="2">
        <v>45929</v>
      </c>
      <c r="W149" t="s">
        <v>48</v>
      </c>
      <c r="X149" t="s">
        <v>49</v>
      </c>
      <c r="Y149" t="s">
        <v>69</v>
      </c>
      <c r="Z149" t="s">
        <v>51</v>
      </c>
      <c r="AA149" t="s">
        <v>107</v>
      </c>
      <c r="AB149" cm="1">
        <f t="array" ref="AB149">IF(OR(COUNTIF(K149, "*FAC.C*")&gt;0, COUNTIF(J149, "*チャージ*")&gt;0, COUNTIF(J149, "*ギフト*")&gt;0), IFERROR(_xlfn.XLOOKUP(B149, $B$1:B148, $AB$1:AB148, 0, 0, -1), 0), IFERROR(ROUND(_xlfn.XLOOKUP(B149, $B$1:B148, $AB$1:AB148, 0, 0, -1) * 0.9 + P149 * 0.1, 0), ""))</f>
        <v>3603</v>
      </c>
      <c r="AC149" t="s">
        <v>53</v>
      </c>
    </row>
    <row r="150" spans="1:29" x14ac:dyDescent="0.2">
      <c r="A150" t="s">
        <v>181</v>
      </c>
      <c r="B150" t="s">
        <v>182</v>
      </c>
      <c r="C150" t="s">
        <v>29</v>
      </c>
      <c r="D150" t="s">
        <v>183</v>
      </c>
      <c r="E150" t="s">
        <v>70</v>
      </c>
      <c r="F150" t="s">
        <v>90</v>
      </c>
      <c r="G150" t="s">
        <v>184</v>
      </c>
      <c r="H150" t="s">
        <v>34</v>
      </c>
      <c r="I150" s="2">
        <v>46127</v>
      </c>
      <c r="J150" t="s">
        <v>701</v>
      </c>
      <c r="K150" t="s">
        <v>810</v>
      </c>
      <c r="L150" t="s">
        <v>125</v>
      </c>
      <c r="M150" t="s">
        <v>158</v>
      </c>
      <c r="N150" t="s">
        <v>115</v>
      </c>
      <c r="O150" t="s">
        <v>159</v>
      </c>
      <c r="P150" t="s">
        <v>160</v>
      </c>
      <c r="Q150" t="s">
        <v>42</v>
      </c>
      <c r="R150" t="s">
        <v>43</v>
      </c>
      <c r="S150" t="s">
        <v>44</v>
      </c>
      <c r="T150" t="s">
        <v>189</v>
      </c>
      <c r="U150" t="s">
        <v>200</v>
      </c>
      <c r="V150" t="s">
        <v>793</v>
      </c>
      <c r="W150" t="s">
        <v>48</v>
      </c>
      <c r="X150" t="s">
        <v>49</v>
      </c>
      <c r="Y150" t="s">
        <v>82</v>
      </c>
      <c r="Z150" t="s">
        <v>51</v>
      </c>
      <c r="AA150" t="s">
        <v>52</v>
      </c>
      <c r="AB150" cm="1">
        <f t="array" ref="AB150">IF(OR(COUNTIF(K150, "*FAC.C*")&gt;0, COUNTIF(J150, "*チャージ*")&gt;0, COUNTIF(J150, "*ギフト*")&gt;0), IFERROR(_xlfn.XLOOKUP(B150, $B$1:B149, $AB$1:AB149, 0, 0, -1), 0), IFERROR(ROUND(_xlfn.XLOOKUP(B150, $B$1:B149, $AB$1:AB149, 0, 0, -1) * 0.9 + P150 * 0.1, 0), ""))</f>
        <v>5085</v>
      </c>
      <c r="AC150" t="s">
        <v>85</v>
      </c>
    </row>
    <row r="151" spans="1:29" x14ac:dyDescent="0.2">
      <c r="A151" t="s">
        <v>190</v>
      </c>
      <c r="B151" t="s">
        <v>191</v>
      </c>
      <c r="C151" t="s">
        <v>32</v>
      </c>
      <c r="D151" t="s">
        <v>192</v>
      </c>
      <c r="E151">
        <v>30</v>
      </c>
      <c r="F151" t="s">
        <v>29</v>
      </c>
      <c r="G151" t="s">
        <v>194</v>
      </c>
      <c r="H151" t="s">
        <v>77</v>
      </c>
      <c r="I151" s="2">
        <v>46127</v>
      </c>
      <c r="J151" t="s">
        <v>704</v>
      </c>
      <c r="K151" t="s">
        <v>811</v>
      </c>
      <c r="L151" t="s">
        <v>1141</v>
      </c>
      <c r="M151" t="s">
        <v>1142</v>
      </c>
      <c r="N151" t="s">
        <v>1077</v>
      </c>
      <c r="O151" t="s">
        <v>1144</v>
      </c>
      <c r="P151">
        <v>120</v>
      </c>
      <c r="Q151" t="s">
        <v>42</v>
      </c>
      <c r="R151" t="s">
        <v>43</v>
      </c>
      <c r="S151" t="s">
        <v>44</v>
      </c>
      <c r="T151" t="s">
        <v>199</v>
      </c>
      <c r="U151" t="s">
        <v>200</v>
      </c>
      <c r="V151" t="s">
        <v>793</v>
      </c>
      <c r="W151" t="s">
        <v>48</v>
      </c>
      <c r="X151" t="s">
        <v>49</v>
      </c>
      <c r="Y151">
        <v>498007</v>
      </c>
      <c r="Z151">
        <v>15</v>
      </c>
      <c r="AA151" t="s">
        <v>52</v>
      </c>
      <c r="AB151" cm="1">
        <f t="array" ref="AB151">IF(OR(COUNTIF(K151, "*FAC.C*")&gt;0, COUNTIF(J151, "*チャージ*")&gt;0, COUNTIF(J151, "*ギフト*")&gt;0), IFERROR(_xlfn.XLOOKUP(B151, $B$1:B150, $AB$1:AB150, 0, 0, -1), 0), IFERROR(ROUND(_xlfn.XLOOKUP(B151, $B$1:B150, $AB$1:AB150, 0, 0, -1) * 0.9 + P151 * 0.1, 0), ""))</f>
        <v>501</v>
      </c>
      <c r="AC151" t="s">
        <v>1075</v>
      </c>
    </row>
    <row r="152" spans="1:29" x14ac:dyDescent="0.2">
      <c r="A152" t="s">
        <v>201</v>
      </c>
      <c r="B152" t="s">
        <v>202</v>
      </c>
      <c r="C152" t="s">
        <v>145</v>
      </c>
      <c r="D152" t="s">
        <v>203</v>
      </c>
      <c r="E152" t="s">
        <v>204</v>
      </c>
      <c r="F152" t="s">
        <v>173</v>
      </c>
      <c r="G152" t="s">
        <v>205</v>
      </c>
      <c r="H152" t="s">
        <v>77</v>
      </c>
      <c r="I152" s="2">
        <v>46128</v>
      </c>
      <c r="J152" t="s">
        <v>78</v>
      </c>
      <c r="K152" t="s">
        <v>813</v>
      </c>
      <c r="L152" t="s">
        <v>113</v>
      </c>
      <c r="M152" t="s">
        <v>138</v>
      </c>
      <c r="N152" t="s">
        <v>1028</v>
      </c>
      <c r="O152" t="s">
        <v>139</v>
      </c>
      <c r="P152" t="s">
        <v>140</v>
      </c>
      <c r="Q152" t="s">
        <v>42</v>
      </c>
      <c r="R152" t="s">
        <v>43</v>
      </c>
      <c r="S152" t="s">
        <v>44</v>
      </c>
      <c r="T152" t="s">
        <v>210</v>
      </c>
      <c r="U152" t="s">
        <v>200</v>
      </c>
      <c r="V152" s="2">
        <v>43028</v>
      </c>
      <c r="W152" t="s">
        <v>48</v>
      </c>
      <c r="X152" t="s">
        <v>49</v>
      </c>
      <c r="Z152" t="s">
        <v>51</v>
      </c>
      <c r="AA152" t="s">
        <v>52</v>
      </c>
      <c r="AB152" cm="1">
        <f t="array" ref="AB152">IF(OR(COUNTIF(K152, "*FAC.C*")&gt;0, COUNTIF(J152, "*チャージ*")&gt;0, COUNTIF(J152, "*ギフト*")&gt;0), IFERROR(_xlfn.XLOOKUP(B152, $B$1:B151, $AB$1:AB151, 0, 0, -1), 0), IFERROR(ROUND(_xlfn.XLOOKUP(B152, $B$1:B151, $AB$1:AB151, 0, 0, -1) * 0.9 + P152 * 0.1, 0), ""))</f>
        <v>1034</v>
      </c>
      <c r="AC152" t="s">
        <v>85</v>
      </c>
    </row>
    <row r="153" spans="1:29" x14ac:dyDescent="0.2">
      <c r="A153" t="s">
        <v>211</v>
      </c>
      <c r="B153" t="s">
        <v>212</v>
      </c>
      <c r="C153" t="s">
        <v>145</v>
      </c>
      <c r="D153" t="s">
        <v>213</v>
      </c>
      <c r="E153" t="s">
        <v>147</v>
      </c>
      <c r="F153" t="s">
        <v>145</v>
      </c>
      <c r="G153" t="s">
        <v>214</v>
      </c>
      <c r="H153" t="s">
        <v>59</v>
      </c>
      <c r="I153" s="2">
        <v>46128</v>
      </c>
      <c r="J153" s="1">
        <v>0.2883101851851852</v>
      </c>
      <c r="K153" t="s">
        <v>814</v>
      </c>
      <c r="L153" t="s">
        <v>62</v>
      </c>
      <c r="M153" t="s">
        <v>1033</v>
      </c>
      <c r="N153" t="s">
        <v>1034</v>
      </c>
      <c r="O153" t="s">
        <v>65</v>
      </c>
      <c r="P153" t="s">
        <v>66</v>
      </c>
      <c r="Q153" t="s">
        <v>42</v>
      </c>
      <c r="R153" t="s">
        <v>43</v>
      </c>
      <c r="S153" t="s">
        <v>44</v>
      </c>
      <c r="T153" t="s">
        <v>220</v>
      </c>
      <c r="U153" t="s">
        <v>97</v>
      </c>
      <c r="V153" s="2">
        <v>44925</v>
      </c>
      <c r="W153" t="s">
        <v>48</v>
      </c>
      <c r="X153" t="s">
        <v>49</v>
      </c>
      <c r="Y153" t="s">
        <v>69</v>
      </c>
      <c r="Z153" t="s">
        <v>51</v>
      </c>
      <c r="AA153" t="s">
        <v>52</v>
      </c>
      <c r="AB153" cm="1">
        <f t="array" ref="AB153">IF(OR(COUNTIF(K153, "*FAC.C*")&gt;0, COUNTIF(J153, "*チャージ*")&gt;0, COUNTIF(J153, "*ギフト*")&gt;0), IFERROR(_xlfn.XLOOKUP(B153, $B$1:B152, $AB$1:AB152, 0, 0, -1), 0), IFERROR(ROUND(_xlfn.XLOOKUP(B153, $B$1:B152, $AB$1:AB152, 0, 0, -1) * 0.9 + P153 * 0.1, 0), ""))</f>
        <v>3241</v>
      </c>
      <c r="AC153" t="s">
        <v>1035</v>
      </c>
    </row>
    <row r="154" spans="1:29" x14ac:dyDescent="0.2">
      <c r="A154" t="s">
        <v>222</v>
      </c>
      <c r="B154" t="s">
        <v>223</v>
      </c>
      <c r="C154" t="s">
        <v>173</v>
      </c>
      <c r="D154" t="s">
        <v>224</v>
      </c>
      <c r="E154" t="s">
        <v>147</v>
      </c>
      <c r="F154">
        <v>1</v>
      </c>
      <c r="G154" t="s">
        <v>225</v>
      </c>
      <c r="H154" t="s">
        <v>59</v>
      </c>
      <c r="I154" s="2">
        <v>46128</v>
      </c>
      <c r="J154" t="s">
        <v>556</v>
      </c>
      <c r="K154" t="s">
        <v>815</v>
      </c>
      <c r="L154" t="s">
        <v>37</v>
      </c>
      <c r="M154" t="s">
        <v>114</v>
      </c>
      <c r="N154" t="s">
        <v>1022</v>
      </c>
      <c r="O154" t="s">
        <v>116</v>
      </c>
      <c r="P154" t="s">
        <v>117</v>
      </c>
      <c r="Q154" t="s">
        <v>42</v>
      </c>
      <c r="R154" t="s">
        <v>43</v>
      </c>
      <c r="S154" t="s">
        <v>44</v>
      </c>
      <c r="T154" t="s">
        <v>229</v>
      </c>
      <c r="U154" t="s">
        <v>200</v>
      </c>
      <c r="V154" s="2">
        <v>43966</v>
      </c>
      <c r="W154" t="s">
        <v>48</v>
      </c>
      <c r="X154" t="s">
        <v>49</v>
      </c>
      <c r="Y154" t="s">
        <v>82</v>
      </c>
      <c r="Z154">
        <v>13</v>
      </c>
      <c r="AA154" t="s">
        <v>84</v>
      </c>
      <c r="AB154" cm="1">
        <f t="array" ref="AB154">IF(OR(COUNTIF(K154, "*FAC.C*")&gt;0, COUNTIF(J154, "*チャージ*")&gt;0, COUNTIF(J154, "*ギフト*")&gt;0), IFERROR(_xlfn.XLOOKUP(B154, $B$1:B153, $AB$1:AB153, 0, 0, -1), 0), IFERROR(ROUND(_xlfn.XLOOKUP(B154, $B$1:B153, $AB$1:AB153, 0, 0, -1) * 0.9 + P154 * 0.1, 0), ""))</f>
        <v>2914</v>
      </c>
      <c r="AC154" t="s">
        <v>85</v>
      </c>
    </row>
    <row r="155" spans="1:29" x14ac:dyDescent="0.2">
      <c r="A155" t="s">
        <v>230</v>
      </c>
      <c r="B155" t="s">
        <v>231</v>
      </c>
      <c r="C155" t="s">
        <v>173</v>
      </c>
      <c r="D155" t="s">
        <v>232</v>
      </c>
      <c r="E155" t="s">
        <v>233</v>
      </c>
      <c r="F155" t="s">
        <v>145</v>
      </c>
      <c r="G155" t="s">
        <v>234</v>
      </c>
      <c r="H155" t="s">
        <v>34</v>
      </c>
      <c r="I155" s="2">
        <v>46128</v>
      </c>
      <c r="J155" s="1">
        <v>0.53150462962962963</v>
      </c>
      <c r="K155" t="s">
        <v>816</v>
      </c>
      <c r="L155" t="s">
        <v>80</v>
      </c>
      <c r="M155" t="s">
        <v>272</v>
      </c>
      <c r="N155" t="s">
        <v>115</v>
      </c>
      <c r="O155" t="s">
        <v>698</v>
      </c>
      <c r="P155" t="s">
        <v>198</v>
      </c>
      <c r="S155" t="s">
        <v>44</v>
      </c>
      <c r="T155" t="s">
        <v>239</v>
      </c>
      <c r="U155" t="s">
        <v>221</v>
      </c>
      <c r="V155" s="2">
        <v>45242</v>
      </c>
      <c r="W155" t="s">
        <v>48</v>
      </c>
      <c r="X155" t="s">
        <v>49</v>
      </c>
      <c r="Y155" t="s">
        <v>142</v>
      </c>
      <c r="Z155">
        <v>15</v>
      </c>
      <c r="AA155" t="s">
        <v>84</v>
      </c>
      <c r="AB155" cm="1">
        <f t="array" ref="AB155">IF(OR(COUNTIF(K155, "*FAC.C*")&gt;0, COUNTIF(J155, "*チャージ*")&gt;0, COUNTIF(J155, "*ギフト*")&gt;0), IFERROR(_xlfn.XLOOKUP(B155, $B$1:B154, $AB$1:AB154, 0, 0, -1), 0), IFERROR(ROUND(_xlfn.XLOOKUP(B155, $B$1:B154, $AB$1:AB154, 0, 0, -1) * 0.9 + P155 * 0.1, 0), ""))</f>
        <v>556</v>
      </c>
      <c r="AC155" t="s">
        <v>53</v>
      </c>
    </row>
    <row r="156" spans="1:29" x14ac:dyDescent="0.2">
      <c r="A156" t="s">
        <v>240</v>
      </c>
      <c r="B156" t="s">
        <v>241</v>
      </c>
      <c r="C156" t="s">
        <v>29</v>
      </c>
      <c r="D156" t="s">
        <v>88</v>
      </c>
      <c r="E156" t="s">
        <v>154</v>
      </c>
      <c r="F156" t="s">
        <v>29</v>
      </c>
      <c r="G156" t="s">
        <v>242</v>
      </c>
      <c r="H156" t="s">
        <v>77</v>
      </c>
      <c r="I156" s="2">
        <v>46128</v>
      </c>
      <c r="J156" t="s">
        <v>568</v>
      </c>
      <c r="K156" t="s">
        <v>817</v>
      </c>
      <c r="L156" t="s">
        <v>113</v>
      </c>
      <c r="M156" t="s">
        <v>63</v>
      </c>
      <c r="N156" t="s">
        <v>64</v>
      </c>
      <c r="O156" t="s">
        <v>197</v>
      </c>
      <c r="P156" t="s">
        <v>198</v>
      </c>
      <c r="Q156" t="s">
        <v>42</v>
      </c>
      <c r="R156" t="s">
        <v>43</v>
      </c>
      <c r="S156" t="s">
        <v>44</v>
      </c>
      <c r="T156" t="s">
        <v>96</v>
      </c>
      <c r="U156" t="s">
        <v>68</v>
      </c>
      <c r="V156" s="2">
        <v>45945</v>
      </c>
      <c r="W156" t="s">
        <v>48</v>
      </c>
      <c r="X156" t="s">
        <v>49</v>
      </c>
      <c r="Y156" t="s">
        <v>142</v>
      </c>
      <c r="Z156" t="s">
        <v>51</v>
      </c>
      <c r="AA156" t="s">
        <v>107</v>
      </c>
      <c r="AB156" cm="1">
        <f t="array" ref="AB156">IF(OR(COUNTIF(K156, "*FAC.C*")&gt;0, COUNTIF(J156, "*チャージ*")&gt;0, COUNTIF(J156, "*ギフト*")&gt;0), IFERROR(_xlfn.XLOOKUP(B156, $B$1:B155, $AB$1:AB155, 0, 0, -1), 0), IFERROR(ROUND(_xlfn.XLOOKUP(B156, $B$1:B155, $AB$1:AB155, 0, 0, -1) * 0.9 + P156 * 0.1, 0), ""))</f>
        <v>6600</v>
      </c>
      <c r="AC156" t="s">
        <v>85</v>
      </c>
    </row>
    <row r="157" spans="1:29" x14ac:dyDescent="0.2">
      <c r="A157" t="s">
        <v>245</v>
      </c>
      <c r="B157" t="s">
        <v>246</v>
      </c>
      <c r="C157" t="s">
        <v>145</v>
      </c>
      <c r="D157" t="s">
        <v>100</v>
      </c>
      <c r="E157" t="s">
        <v>247</v>
      </c>
      <c r="F157" t="s">
        <v>32</v>
      </c>
      <c r="G157" t="s">
        <v>248</v>
      </c>
      <c r="H157" t="s">
        <v>134</v>
      </c>
      <c r="I157" s="2">
        <v>46128</v>
      </c>
      <c r="J157" s="1">
        <v>0.81509259259259259</v>
      </c>
      <c r="K157" t="s">
        <v>818</v>
      </c>
      <c r="L157" t="s">
        <v>1141</v>
      </c>
      <c r="M157" t="s">
        <v>1078</v>
      </c>
      <c r="N157" t="s">
        <v>1072</v>
      </c>
      <c r="O157" t="s">
        <v>1177</v>
      </c>
      <c r="P157">
        <v>1000</v>
      </c>
      <c r="Q157" t="s">
        <v>42</v>
      </c>
      <c r="R157" t="s">
        <v>43</v>
      </c>
      <c r="S157" t="s">
        <v>44</v>
      </c>
      <c r="T157" t="s">
        <v>1178</v>
      </c>
      <c r="U157" t="s">
        <v>200</v>
      </c>
      <c r="V157" s="2">
        <v>45870</v>
      </c>
      <c r="W157" t="s">
        <v>48</v>
      </c>
      <c r="X157" t="s">
        <v>49</v>
      </c>
      <c r="Y157">
        <v>541011</v>
      </c>
      <c r="Z157">
        <v>16</v>
      </c>
      <c r="AA157" t="s">
        <v>84</v>
      </c>
      <c r="AB157" cm="1">
        <f t="array" ref="AB157">IF(OR(COUNTIF(K157, "*FAC.C*")&gt;0, COUNTIF(J157, "*チャージ*")&gt;0, COUNTIF(J157, "*ギフト*")&gt;0), IFERROR(_xlfn.XLOOKUP(B157, $B$1:B156, $AB$1:AB156, 0, 0, -1), 0), IFERROR(ROUND(_xlfn.XLOOKUP(B157, $B$1:B156, $AB$1:AB156, 0, 0, -1) * 0.9 + P157 * 0.1, 0), ""))</f>
        <v>322</v>
      </c>
      <c r="AC157" t="s">
        <v>53</v>
      </c>
    </row>
    <row r="158" spans="1:29" x14ac:dyDescent="0.2">
      <c r="A158" t="s">
        <v>252</v>
      </c>
      <c r="B158" t="s">
        <v>253</v>
      </c>
      <c r="C158" t="s">
        <v>32</v>
      </c>
      <c r="D158" t="s">
        <v>254</v>
      </c>
      <c r="E158" t="s">
        <v>255</v>
      </c>
      <c r="F158" t="s">
        <v>173</v>
      </c>
      <c r="G158" t="s">
        <v>256</v>
      </c>
      <c r="H158" t="s">
        <v>59</v>
      </c>
      <c r="I158" s="2">
        <v>46128</v>
      </c>
      <c r="J158" t="s">
        <v>581</v>
      </c>
      <c r="K158" t="s">
        <v>819</v>
      </c>
      <c r="L158" t="s">
        <v>125</v>
      </c>
      <c r="M158" t="s">
        <v>250</v>
      </c>
      <c r="N158" t="s">
        <v>1025</v>
      </c>
      <c r="O158" t="s">
        <v>583</v>
      </c>
      <c r="P158" t="s">
        <v>584</v>
      </c>
      <c r="Q158" t="s">
        <v>42</v>
      </c>
      <c r="R158" t="s">
        <v>43</v>
      </c>
      <c r="S158" t="s">
        <v>44</v>
      </c>
      <c r="T158" t="s">
        <v>260</v>
      </c>
      <c r="U158" t="s">
        <v>97</v>
      </c>
      <c r="V158" s="2">
        <v>44533</v>
      </c>
      <c r="W158" t="s">
        <v>48</v>
      </c>
      <c r="X158" t="s">
        <v>49</v>
      </c>
      <c r="Y158" t="s">
        <v>82</v>
      </c>
      <c r="Z158" t="s">
        <v>70</v>
      </c>
      <c r="AA158" t="s">
        <v>128</v>
      </c>
      <c r="AB158" cm="1">
        <f t="array" ref="AB158">IF(OR(COUNTIF(K158, "*FAC.C*")&gt;0, COUNTIF(J158, "*チャージ*")&gt;0, COUNTIF(J158, "*ギフト*")&gt;0), IFERROR(_xlfn.XLOOKUP(B158, $B$1:B157, $AB$1:AB157, 0, 0, -1), 0), IFERROR(ROUND(_xlfn.XLOOKUP(B158, $B$1:B157, $AB$1:AB157, 0, 0, -1) * 0.9 + P158 * 0.1, 0), ""))</f>
        <v>5647</v>
      </c>
      <c r="AC158" t="s">
        <v>53</v>
      </c>
    </row>
    <row r="159" spans="1:29" x14ac:dyDescent="0.2">
      <c r="A159" t="s">
        <v>261</v>
      </c>
      <c r="B159" t="s">
        <v>262</v>
      </c>
      <c r="C159" t="s">
        <v>32</v>
      </c>
      <c r="D159" t="s">
        <v>263</v>
      </c>
      <c r="E159" t="s">
        <v>204</v>
      </c>
      <c r="F159" t="s">
        <v>29</v>
      </c>
      <c r="G159" t="s">
        <v>264</v>
      </c>
      <c r="H159" t="s">
        <v>34</v>
      </c>
      <c r="I159" s="2">
        <v>46128</v>
      </c>
      <c r="J159" t="s">
        <v>590</v>
      </c>
      <c r="K159" t="s">
        <v>820</v>
      </c>
      <c r="L159" t="s">
        <v>1126</v>
      </c>
      <c r="M159" t="s">
        <v>1076</v>
      </c>
      <c r="N159" t="s">
        <v>115</v>
      </c>
      <c r="O159" t="s">
        <v>1132</v>
      </c>
      <c r="P159">
        <v>160</v>
      </c>
      <c r="Q159" t="s">
        <v>42</v>
      </c>
      <c r="R159" t="s">
        <v>43</v>
      </c>
      <c r="S159" t="s">
        <v>44</v>
      </c>
      <c r="T159" t="s">
        <v>266</v>
      </c>
      <c r="U159" t="s">
        <v>1131</v>
      </c>
      <c r="V159" s="2">
        <v>44941</v>
      </c>
      <c r="W159" t="s">
        <v>48</v>
      </c>
      <c r="X159" t="s">
        <v>49</v>
      </c>
      <c r="Y159" t="s">
        <v>50</v>
      </c>
      <c r="Z159">
        <v>160</v>
      </c>
      <c r="AA159" t="s">
        <v>52</v>
      </c>
      <c r="AB159" cm="1">
        <f t="array" ref="AB159">IF(OR(COUNTIF(K159, "*FAC.C*")&gt;0, COUNTIF(J159, "*チャージ*")&gt;0, COUNTIF(J159, "*ギフト*")&gt;0), IFERROR(_xlfn.XLOOKUP(B159, $B$1:B158, $AB$1:AB158, 0, 0, -1), 0), IFERROR(ROUND(_xlfn.XLOOKUP(B159, $B$1:B158, $AB$1:AB158, 0, 0, -1) * 0.9 + P159 * 0.1, 0), ""))</f>
        <v>30</v>
      </c>
      <c r="AC159" t="s">
        <v>53</v>
      </c>
    </row>
    <row r="160" spans="1:29" x14ac:dyDescent="0.2">
      <c r="A160" t="s">
        <v>267</v>
      </c>
      <c r="B160" t="s">
        <v>268</v>
      </c>
      <c r="C160" t="s">
        <v>32</v>
      </c>
      <c r="D160" t="s">
        <v>88</v>
      </c>
      <c r="E160" t="s">
        <v>154</v>
      </c>
      <c r="F160" t="s">
        <v>29</v>
      </c>
      <c r="G160" t="s">
        <v>269</v>
      </c>
      <c r="H160" t="s">
        <v>34</v>
      </c>
      <c r="I160" s="2">
        <v>46128</v>
      </c>
      <c r="J160" t="s">
        <v>595</v>
      </c>
      <c r="K160" t="s">
        <v>821</v>
      </c>
      <c r="L160" t="s">
        <v>37</v>
      </c>
      <c r="M160" t="s">
        <v>250</v>
      </c>
      <c r="N160" t="s">
        <v>115</v>
      </c>
      <c r="O160" t="s">
        <v>251</v>
      </c>
      <c r="P160" t="s">
        <v>41</v>
      </c>
      <c r="Q160" t="s">
        <v>42</v>
      </c>
      <c r="R160" t="s">
        <v>43</v>
      </c>
      <c r="S160" t="s">
        <v>44</v>
      </c>
      <c r="T160" t="s">
        <v>96</v>
      </c>
      <c r="U160" t="s">
        <v>68</v>
      </c>
      <c r="V160" t="s">
        <v>802</v>
      </c>
      <c r="W160" t="s">
        <v>48</v>
      </c>
      <c r="X160" t="s">
        <v>49</v>
      </c>
      <c r="Y160" t="s">
        <v>50</v>
      </c>
      <c r="Z160" t="s">
        <v>51</v>
      </c>
      <c r="AA160" t="s">
        <v>107</v>
      </c>
      <c r="AB160" cm="1">
        <f t="array" ref="AB160">IF(OR(COUNTIF(K160, "*FAC.C*")&gt;0, COUNTIF(J160, "*チャージ*")&gt;0, COUNTIF(J160, "*ギフト*")&gt;0), IFERROR(_xlfn.XLOOKUP(B160, $B$1:B159, $AB$1:AB159, 0, 0, -1), 0), IFERROR(ROUND(_xlfn.XLOOKUP(B160, $B$1:B159, $AB$1:AB159, 0, 0, -1) * 0.9 + P160 * 0.1, 0), ""))</f>
        <v>5876</v>
      </c>
      <c r="AC160" t="s">
        <v>85</v>
      </c>
    </row>
    <row r="161" spans="1:29" x14ac:dyDescent="0.2">
      <c r="A161" t="s">
        <v>274</v>
      </c>
      <c r="B161" t="s">
        <v>275</v>
      </c>
      <c r="C161" t="s">
        <v>173</v>
      </c>
      <c r="D161" t="s">
        <v>276</v>
      </c>
      <c r="E161" t="s">
        <v>89</v>
      </c>
      <c r="F161" t="s">
        <v>173</v>
      </c>
      <c r="G161" t="s">
        <v>277</v>
      </c>
      <c r="H161" t="s">
        <v>134</v>
      </c>
      <c r="I161" s="2">
        <v>46128</v>
      </c>
      <c r="J161" s="1">
        <v>0.53163194444444439</v>
      </c>
      <c r="K161" t="s">
        <v>822</v>
      </c>
      <c r="L161" t="s">
        <v>113</v>
      </c>
      <c r="M161" t="s">
        <v>1036</v>
      </c>
      <c r="N161" t="s">
        <v>1182</v>
      </c>
      <c r="O161" t="s">
        <v>1202</v>
      </c>
      <c r="P161">
        <v>800</v>
      </c>
      <c r="Q161" t="s">
        <v>279</v>
      </c>
      <c r="R161" t="s">
        <v>43</v>
      </c>
      <c r="S161" t="s">
        <v>44</v>
      </c>
      <c r="T161" t="s">
        <v>1206</v>
      </c>
      <c r="U161" t="s">
        <v>1207</v>
      </c>
      <c r="V161" s="2">
        <v>44138</v>
      </c>
      <c r="W161" t="s">
        <v>48</v>
      </c>
      <c r="X161">
        <v>1</v>
      </c>
      <c r="Z161" t="s">
        <v>70</v>
      </c>
      <c r="AA161" t="s">
        <v>128</v>
      </c>
      <c r="AB161" cm="1">
        <f t="array" ref="AB161">IF(OR(COUNTIF(K161, "*FAC.C*")&gt;0, COUNTIF(J161, "*チャージ*")&gt;0, COUNTIF(J161, "*ギフト*")&gt;0), IFERROR(_xlfn.XLOOKUP(B161, $B$1:B160, $AB$1:AB160, 0, 0, -1), 0), IFERROR(ROUND(_xlfn.XLOOKUP(B161, $B$1:B160, $AB$1:AB160, 0, 0, -1) * 0.9 + P161 * 0.1, 0), ""))</f>
        <v>592</v>
      </c>
      <c r="AC161" t="s">
        <v>1192</v>
      </c>
    </row>
    <row r="162" spans="1:29" x14ac:dyDescent="0.2">
      <c r="A162" t="s">
        <v>281</v>
      </c>
      <c r="B162" t="s">
        <v>282</v>
      </c>
      <c r="C162" t="s">
        <v>173</v>
      </c>
      <c r="D162" t="s">
        <v>283</v>
      </c>
      <c r="E162" t="s">
        <v>284</v>
      </c>
      <c r="F162" t="s">
        <v>145</v>
      </c>
      <c r="G162" s="3">
        <v>359150071234560</v>
      </c>
      <c r="H162" t="s">
        <v>59</v>
      </c>
      <c r="I162" s="2">
        <v>46129</v>
      </c>
      <c r="J162" t="s">
        <v>607</v>
      </c>
      <c r="K162" t="s">
        <v>824</v>
      </c>
      <c r="L162" t="s">
        <v>113</v>
      </c>
      <c r="M162" t="s">
        <v>250</v>
      </c>
      <c r="N162" t="s">
        <v>1025</v>
      </c>
      <c r="O162" t="s">
        <v>583</v>
      </c>
      <c r="P162" t="s">
        <v>584</v>
      </c>
      <c r="Q162" t="s">
        <v>42</v>
      </c>
      <c r="R162" t="s">
        <v>43</v>
      </c>
      <c r="S162" t="s">
        <v>44</v>
      </c>
      <c r="T162" t="s">
        <v>288</v>
      </c>
      <c r="U162" t="s">
        <v>97</v>
      </c>
      <c r="V162" s="2">
        <v>44595</v>
      </c>
      <c r="W162" t="s">
        <v>48</v>
      </c>
      <c r="X162" t="s">
        <v>49</v>
      </c>
      <c r="Z162" t="s">
        <v>70</v>
      </c>
      <c r="AA162" t="s">
        <v>1026</v>
      </c>
      <c r="AB162" cm="1">
        <f t="array" ref="AB162">IF(OR(COUNTIF(K162, "*FAC.C*")&gt;0, COUNTIF(J162, "*チャージ*")&gt;0, COUNTIF(J162, "*ギフト*")&gt;0), IFERROR(_xlfn.XLOOKUP(B162, $B$1:B161, $AB$1:AB161, 0, 0, -1), 0), IFERROR(ROUND(_xlfn.XLOOKUP(B162, $B$1:B161, $AB$1:AB161, 0, 0, -1) * 0.9 + P162 * 0.1, 0), ""))</f>
        <v>29048</v>
      </c>
      <c r="AC162" t="s">
        <v>53</v>
      </c>
    </row>
    <row r="163" spans="1:29" x14ac:dyDescent="0.2">
      <c r="A163" t="s">
        <v>267</v>
      </c>
      <c r="B163" t="s">
        <v>268</v>
      </c>
      <c r="C163" t="s">
        <v>32</v>
      </c>
      <c r="D163" t="s">
        <v>88</v>
      </c>
      <c r="E163" t="s">
        <v>154</v>
      </c>
      <c r="F163" t="s">
        <v>29</v>
      </c>
      <c r="G163" t="s">
        <v>269</v>
      </c>
      <c r="H163" t="s">
        <v>34</v>
      </c>
      <c r="I163" s="2">
        <v>46129</v>
      </c>
      <c r="J163" t="s">
        <v>614</v>
      </c>
      <c r="K163" t="s">
        <v>825</v>
      </c>
      <c r="L163" t="s">
        <v>137</v>
      </c>
      <c r="M163" t="s">
        <v>93</v>
      </c>
      <c r="N163" t="s">
        <v>39</v>
      </c>
      <c r="O163" t="s">
        <v>94</v>
      </c>
      <c r="P163" t="s">
        <v>95</v>
      </c>
      <c r="Q163" t="s">
        <v>42</v>
      </c>
      <c r="R163" t="s">
        <v>43</v>
      </c>
      <c r="S163" t="s">
        <v>44</v>
      </c>
      <c r="T163" t="s">
        <v>96</v>
      </c>
      <c r="U163" t="s">
        <v>97</v>
      </c>
      <c r="V163" t="s">
        <v>762</v>
      </c>
      <c r="W163" t="s">
        <v>48</v>
      </c>
      <c r="X163" t="s">
        <v>49</v>
      </c>
      <c r="Y163" t="s">
        <v>142</v>
      </c>
      <c r="Z163" t="s">
        <v>51</v>
      </c>
      <c r="AA163" t="s">
        <v>107</v>
      </c>
      <c r="AB163" cm="1">
        <f t="array" ref="AB163">IF(OR(COUNTIF(K163, "*FAC.C*")&gt;0, COUNTIF(J163, "*チャージ*")&gt;0, COUNTIF(J163, "*ギフト*")&gt;0), IFERROR(_xlfn.XLOOKUP(B163, $B$1:B162, $AB$1:AB162, 0, 0, -1), 0), IFERROR(ROUND(_xlfn.XLOOKUP(B163, $B$1:B162, $AB$1:AB162, 0, 0, -1) * 0.9 + P163 * 0.1, 0), ""))</f>
        <v>5386</v>
      </c>
      <c r="AC163" t="s">
        <v>85</v>
      </c>
    </row>
    <row r="164" spans="1:29" x14ac:dyDescent="0.2">
      <c r="A164" t="s">
        <v>274</v>
      </c>
      <c r="B164" t="s">
        <v>275</v>
      </c>
      <c r="C164" t="s">
        <v>173</v>
      </c>
      <c r="D164" t="s">
        <v>276</v>
      </c>
      <c r="E164" t="s">
        <v>89</v>
      </c>
      <c r="F164" t="s">
        <v>173</v>
      </c>
      <c r="G164" t="s">
        <v>277</v>
      </c>
      <c r="H164" t="s">
        <v>134</v>
      </c>
      <c r="I164" s="2">
        <v>46129</v>
      </c>
      <c r="J164" s="1">
        <v>0.34385416666666668</v>
      </c>
      <c r="K164" t="s">
        <v>826</v>
      </c>
      <c r="L164" t="s">
        <v>113</v>
      </c>
      <c r="M164" t="s">
        <v>1036</v>
      </c>
      <c r="N164" t="s">
        <v>1182</v>
      </c>
      <c r="O164" t="s">
        <v>1203</v>
      </c>
      <c r="P164">
        <v>320</v>
      </c>
      <c r="Q164" t="s">
        <v>279</v>
      </c>
      <c r="R164" t="s">
        <v>43</v>
      </c>
      <c r="S164" t="s">
        <v>44</v>
      </c>
      <c r="T164" t="s">
        <v>1206</v>
      </c>
      <c r="U164" t="s">
        <v>1207</v>
      </c>
      <c r="V164" s="2">
        <v>44138</v>
      </c>
      <c r="W164" t="s">
        <v>48</v>
      </c>
      <c r="X164">
        <v>1</v>
      </c>
      <c r="Z164" t="s">
        <v>70</v>
      </c>
      <c r="AA164" t="s">
        <v>128</v>
      </c>
      <c r="AB164" cm="1">
        <f t="array" ref="AB164">IF(OR(COUNTIF(K164, "*FAC.C*")&gt;0, COUNTIF(J164, "*チャージ*")&gt;0, COUNTIF(J164, "*ギフト*")&gt;0), IFERROR(_xlfn.XLOOKUP(B164, $B$1:B163, $AB$1:AB163, 0, 0, -1), 0), IFERROR(ROUND(_xlfn.XLOOKUP(B164, $B$1:B163, $AB$1:AB163, 0, 0, -1) * 0.9 + P164 * 0.1, 0), ""))</f>
        <v>565</v>
      </c>
      <c r="AC164" t="s">
        <v>1192</v>
      </c>
    </row>
    <row r="165" spans="1:29" x14ac:dyDescent="0.2">
      <c r="A165" t="s">
        <v>281</v>
      </c>
      <c r="B165" t="s">
        <v>282</v>
      </c>
      <c r="C165" t="s">
        <v>173</v>
      </c>
      <c r="D165" t="s">
        <v>283</v>
      </c>
      <c r="E165" t="s">
        <v>284</v>
      </c>
      <c r="F165" t="s">
        <v>145</v>
      </c>
      <c r="G165" s="3">
        <v>359150071234560</v>
      </c>
      <c r="H165" t="s">
        <v>59</v>
      </c>
      <c r="I165" s="2">
        <v>46129</v>
      </c>
      <c r="J165" t="s">
        <v>626</v>
      </c>
      <c r="K165" t="s">
        <v>827</v>
      </c>
      <c r="L165" t="s">
        <v>113</v>
      </c>
      <c r="M165" t="s">
        <v>1027</v>
      </c>
      <c r="N165" t="s">
        <v>1028</v>
      </c>
      <c r="O165" t="s">
        <v>519</v>
      </c>
      <c r="P165" t="s">
        <v>41</v>
      </c>
      <c r="Q165" t="s">
        <v>42</v>
      </c>
      <c r="R165" t="s">
        <v>43</v>
      </c>
      <c r="S165" t="s">
        <v>44</v>
      </c>
      <c r="T165" t="s">
        <v>288</v>
      </c>
      <c r="U165" t="s">
        <v>97</v>
      </c>
      <c r="V165" s="2">
        <v>44232</v>
      </c>
      <c r="W165" t="s">
        <v>48</v>
      </c>
      <c r="X165" t="s">
        <v>49</v>
      </c>
      <c r="Z165" t="s">
        <v>70</v>
      </c>
      <c r="AA165" t="s">
        <v>1026</v>
      </c>
      <c r="AB165" cm="1">
        <f t="array" ref="AB165">IF(OR(COUNTIF(K165, "*FAC.C*")&gt;0, COUNTIF(J165, "*チャージ*")&gt;0, COUNTIF(J165, "*ギフト*")&gt;0), IFERROR(_xlfn.XLOOKUP(B165, $B$1:B164, $AB$1:AB164, 0, 0, -1), 0), IFERROR(ROUND(_xlfn.XLOOKUP(B165, $B$1:B164, $AB$1:AB164, 0, 0, -1) * 0.9 + P165 * 0.1, 0), ""))</f>
        <v>27143</v>
      </c>
      <c r="AC165" t="s">
        <v>53</v>
      </c>
    </row>
    <row r="166" spans="1:29" x14ac:dyDescent="0.2">
      <c r="A166" t="s">
        <v>289</v>
      </c>
      <c r="B166" t="s">
        <v>290</v>
      </c>
      <c r="C166" t="s">
        <v>145</v>
      </c>
      <c r="D166" t="s">
        <v>291</v>
      </c>
      <c r="E166" t="s">
        <v>292</v>
      </c>
      <c r="F166" t="s">
        <v>29</v>
      </c>
      <c r="G166" t="s">
        <v>293</v>
      </c>
      <c r="H166" t="s">
        <v>59</v>
      </c>
      <c r="I166" s="2">
        <v>46129</v>
      </c>
      <c r="J166" s="1">
        <v>0.50369212962962961</v>
      </c>
      <c r="K166" t="s">
        <v>828</v>
      </c>
      <c r="L166" t="s">
        <v>1190</v>
      </c>
      <c r="M166" t="s">
        <v>38</v>
      </c>
      <c r="N166" t="s">
        <v>1182</v>
      </c>
      <c r="O166" t="s">
        <v>1191</v>
      </c>
      <c r="P166">
        <v>1000</v>
      </c>
      <c r="Q166" t="s">
        <v>42</v>
      </c>
      <c r="R166" t="s">
        <v>43</v>
      </c>
      <c r="S166" t="s">
        <v>44</v>
      </c>
      <c r="T166" t="s">
        <v>1195</v>
      </c>
      <c r="U166" t="s">
        <v>1193</v>
      </c>
      <c r="V166" s="2">
        <v>41731</v>
      </c>
      <c r="W166" t="s">
        <v>48</v>
      </c>
      <c r="X166" t="s">
        <v>49</v>
      </c>
      <c r="Z166">
        <v>16</v>
      </c>
      <c r="AA166" t="s">
        <v>128</v>
      </c>
      <c r="AB166" cm="1">
        <f t="array" ref="AB166">IF(OR(COUNTIF(K166, "*FAC.C*")&gt;0, COUNTIF(J166, "*チャージ*")&gt;0, COUNTIF(J166, "*ギフト*")&gt;0), IFERROR(_xlfn.XLOOKUP(B166, $B$1:B165, $AB$1:AB165, 0, 0, -1), 0), IFERROR(ROUND(_xlfn.XLOOKUP(B166, $B$1:B165, $AB$1:AB165, 0, 0, -1) * 0.9 + P166 * 0.1, 0), ""))</f>
        <v>1000</v>
      </c>
      <c r="AC166" t="s">
        <v>1192</v>
      </c>
    </row>
    <row r="167" spans="1:29" x14ac:dyDescent="0.2">
      <c r="A167" t="s">
        <v>298</v>
      </c>
      <c r="B167" t="s">
        <v>299</v>
      </c>
      <c r="C167" t="s">
        <v>29</v>
      </c>
      <c r="D167" t="s">
        <v>300</v>
      </c>
      <c r="E167" t="s">
        <v>89</v>
      </c>
      <c r="F167" t="s">
        <v>29</v>
      </c>
      <c r="G167" t="s">
        <v>301</v>
      </c>
      <c r="H167" t="s">
        <v>59</v>
      </c>
      <c r="I167" s="2">
        <v>46129</v>
      </c>
      <c r="J167" t="s">
        <v>639</v>
      </c>
      <c r="K167" t="s">
        <v>829</v>
      </c>
      <c r="L167" t="s">
        <v>62</v>
      </c>
      <c r="M167" t="s">
        <v>250</v>
      </c>
      <c r="N167" t="s">
        <v>115</v>
      </c>
      <c r="O167" t="s">
        <v>583</v>
      </c>
      <c r="P167" t="s">
        <v>584</v>
      </c>
      <c r="Q167" t="s">
        <v>42</v>
      </c>
      <c r="R167" t="s">
        <v>43</v>
      </c>
      <c r="S167" t="s">
        <v>44</v>
      </c>
      <c r="T167" t="s">
        <v>305</v>
      </c>
      <c r="U167" t="s">
        <v>221</v>
      </c>
      <c r="V167" t="s">
        <v>812</v>
      </c>
      <c r="W167" t="s">
        <v>48</v>
      </c>
      <c r="X167" t="s">
        <v>49</v>
      </c>
      <c r="Y167" t="s">
        <v>69</v>
      </c>
      <c r="Z167" t="s">
        <v>83</v>
      </c>
      <c r="AA167" t="s">
        <v>84</v>
      </c>
      <c r="AB167" cm="1">
        <f t="array" ref="AB167">IF(OR(COUNTIF(K167, "*FAC.C*")&gt;0, COUNTIF(J167, "*チャージ*")&gt;0, COUNTIF(J167, "*ギフト*")&gt;0), IFERROR(_xlfn.XLOOKUP(B167, $B$1:B166, $AB$1:AB166, 0, 0, -1), 0), IFERROR(ROUND(_xlfn.XLOOKUP(B167, $B$1:B166, $AB$1:AB166, 0, 0, -1) * 0.9 + P167 * 0.1, 0), ""))</f>
        <v>4546</v>
      </c>
      <c r="AC167" t="s">
        <v>53</v>
      </c>
    </row>
    <row r="168" spans="1:29" x14ac:dyDescent="0.2">
      <c r="A168" t="s">
        <v>306</v>
      </c>
      <c r="B168" t="s">
        <v>307</v>
      </c>
      <c r="C168" t="s">
        <v>29</v>
      </c>
      <c r="D168" t="s">
        <v>308</v>
      </c>
      <c r="E168" t="s">
        <v>309</v>
      </c>
      <c r="F168" t="s">
        <v>145</v>
      </c>
      <c r="G168" t="s">
        <v>310</v>
      </c>
      <c r="H168" t="s">
        <v>77</v>
      </c>
      <c r="I168" s="2">
        <v>46129</v>
      </c>
      <c r="J168" t="s">
        <v>645</v>
      </c>
      <c r="K168" t="s">
        <v>830</v>
      </c>
      <c r="L168" t="s">
        <v>37</v>
      </c>
      <c r="M168" t="s">
        <v>1071</v>
      </c>
      <c r="N168" t="s">
        <v>1072</v>
      </c>
      <c r="O168" t="s">
        <v>1152</v>
      </c>
      <c r="P168">
        <v>800</v>
      </c>
      <c r="Q168" t="s">
        <v>42</v>
      </c>
      <c r="R168" t="s">
        <v>43</v>
      </c>
      <c r="S168" t="s">
        <v>44</v>
      </c>
      <c r="T168" t="s">
        <v>313</v>
      </c>
      <c r="U168" t="s">
        <v>97</v>
      </c>
      <c r="V168" s="2">
        <v>44836</v>
      </c>
      <c r="W168" t="s">
        <v>48</v>
      </c>
      <c r="X168" t="s">
        <v>49</v>
      </c>
      <c r="Y168" t="s">
        <v>82</v>
      </c>
      <c r="Z168">
        <v>16</v>
      </c>
      <c r="AA168" t="s">
        <v>84</v>
      </c>
      <c r="AB168">
        <v>5206</v>
      </c>
      <c r="AC168" t="s">
        <v>53</v>
      </c>
    </row>
    <row r="169" spans="1:29" x14ac:dyDescent="0.2">
      <c r="A169" t="s">
        <v>314</v>
      </c>
      <c r="B169" t="s">
        <v>315</v>
      </c>
      <c r="C169">
        <v>1</v>
      </c>
      <c r="D169" t="s">
        <v>316</v>
      </c>
      <c r="E169" t="s">
        <v>247</v>
      </c>
      <c r="F169">
        <v>1</v>
      </c>
      <c r="G169" t="s">
        <v>317</v>
      </c>
      <c r="H169" t="s">
        <v>34</v>
      </c>
      <c r="I169" s="2">
        <v>46126</v>
      </c>
      <c r="J169" s="1">
        <v>0.9548726851851852</v>
      </c>
      <c r="K169" t="s">
        <v>1138</v>
      </c>
      <c r="L169" t="s">
        <v>1097</v>
      </c>
      <c r="N169" t="s">
        <v>115</v>
      </c>
      <c r="O169" t="s">
        <v>1096</v>
      </c>
      <c r="P169">
        <v>500</v>
      </c>
      <c r="Q169" t="s">
        <v>42</v>
      </c>
      <c r="R169" t="s">
        <v>43</v>
      </c>
      <c r="S169" t="s">
        <v>44</v>
      </c>
      <c r="T169" t="s">
        <v>320</v>
      </c>
      <c r="U169" t="s">
        <v>68</v>
      </c>
      <c r="V169" t="s">
        <v>812</v>
      </c>
      <c r="W169" t="s">
        <v>48</v>
      </c>
      <c r="X169" t="s">
        <v>49</v>
      </c>
      <c r="Z169">
        <v>16</v>
      </c>
      <c r="AA169" t="s">
        <v>1135</v>
      </c>
      <c r="AB169" cm="1">
        <f t="array" ref="AB169">IF(OR(COUNTIF(K169, "*FAC.C*")&gt;0, COUNTIF(J169, "*チャージ*")&gt;0, COUNTIF(J169, "*ギフト*")&gt;0), IFERROR(_xlfn.XLOOKUP(B169, $B$1:B168, $AB$1:AB168, 0, 0, -1), 0), IFERROR(ROUND(_xlfn.XLOOKUP(B169, $B$1:B168, $AB$1:AB168, 0, 0, -1) * 0.9 + P169 * 0.1, 0), ""))</f>
        <v>500</v>
      </c>
      <c r="AC169" t="s">
        <v>53</v>
      </c>
    </row>
    <row r="170" spans="1:29" x14ac:dyDescent="0.2">
      <c r="A170" t="s">
        <v>321</v>
      </c>
      <c r="B170" t="s">
        <v>322</v>
      </c>
      <c r="C170" t="s">
        <v>32</v>
      </c>
      <c r="D170" t="s">
        <v>323</v>
      </c>
      <c r="E170" t="s">
        <v>324</v>
      </c>
      <c r="F170" t="s">
        <v>90</v>
      </c>
      <c r="G170" t="s">
        <v>325</v>
      </c>
      <c r="H170" t="s">
        <v>59</v>
      </c>
      <c r="I170" s="2">
        <v>46129</v>
      </c>
      <c r="J170" t="s">
        <v>658</v>
      </c>
      <c r="K170" t="s">
        <v>831</v>
      </c>
      <c r="L170" t="s">
        <v>125</v>
      </c>
      <c r="M170" t="s">
        <v>114</v>
      </c>
      <c r="N170" t="s">
        <v>115</v>
      </c>
      <c r="O170" t="s">
        <v>666</v>
      </c>
      <c r="P170" t="s">
        <v>41</v>
      </c>
      <c r="Q170" t="s">
        <v>42</v>
      </c>
      <c r="R170" t="s">
        <v>43</v>
      </c>
      <c r="S170" t="s">
        <v>44</v>
      </c>
      <c r="T170" t="s">
        <v>329</v>
      </c>
      <c r="U170" t="s">
        <v>221</v>
      </c>
      <c r="V170" t="s">
        <v>812</v>
      </c>
      <c r="W170" t="s">
        <v>48</v>
      </c>
      <c r="X170" t="s">
        <v>49</v>
      </c>
      <c r="Y170" t="s">
        <v>82</v>
      </c>
      <c r="Z170" t="s">
        <v>70</v>
      </c>
      <c r="AA170" t="s">
        <v>128</v>
      </c>
      <c r="AB170" cm="1">
        <f t="array" ref="AB170">IF(OR(COUNTIF(K170, "*FAC.C*")&gt;0, COUNTIF(J170, "*チャージ*")&gt;0, COUNTIF(J170, "*ギフト*")&gt;0), IFERROR(_xlfn.XLOOKUP(B170, $B$1:B169, $AB$1:AB169, 0, 0, -1), 0), IFERROR(ROUND(_xlfn.XLOOKUP(B170, $B$1:B169, $AB$1:AB169, 0, 0, -1) * 0.9 + P170 * 0.1, 0), ""))</f>
        <v>7972</v>
      </c>
      <c r="AC170" t="s">
        <v>53</v>
      </c>
    </row>
    <row r="171" spans="1:29" x14ac:dyDescent="0.2">
      <c r="A171" t="s">
        <v>330</v>
      </c>
      <c r="B171" t="s">
        <v>331</v>
      </c>
      <c r="C171" t="s">
        <v>29</v>
      </c>
      <c r="D171" t="s">
        <v>56</v>
      </c>
      <c r="E171" t="s">
        <v>332</v>
      </c>
      <c r="F171" t="s">
        <v>32</v>
      </c>
      <c r="G171" t="s">
        <v>333</v>
      </c>
      <c r="H171" t="s">
        <v>77</v>
      </c>
      <c r="I171" s="2">
        <v>46129</v>
      </c>
      <c r="J171" t="s">
        <v>664</v>
      </c>
      <c r="K171" t="s">
        <v>1051</v>
      </c>
      <c r="L171" t="s">
        <v>62</v>
      </c>
      <c r="N171" t="s">
        <v>115</v>
      </c>
      <c r="O171" t="s">
        <v>1055</v>
      </c>
      <c r="P171">
        <v>546</v>
      </c>
      <c r="Q171" t="s">
        <v>42</v>
      </c>
      <c r="R171" t="s">
        <v>43</v>
      </c>
      <c r="S171" t="s">
        <v>44</v>
      </c>
      <c r="T171" t="s">
        <v>67</v>
      </c>
      <c r="U171" t="s">
        <v>221</v>
      </c>
      <c r="W171" t="s">
        <v>48</v>
      </c>
      <c r="X171" t="s">
        <v>49</v>
      </c>
      <c r="Y171" t="s">
        <v>69</v>
      </c>
      <c r="Z171" t="s">
        <v>83</v>
      </c>
      <c r="AA171" t="s">
        <v>1048</v>
      </c>
      <c r="AB171" cm="1">
        <f t="array" ref="AB171">IF(OR(COUNTIF(K171, "*FAC.C*")&gt;0, COUNTIF(J171, "*チャージ*")&gt;0, COUNTIF(J171, "*ギフト*")&gt;0), IFERROR(_xlfn.XLOOKUP(B171, $B$1:B170, $AB$1:AB170, 0, 0, -1), 0), IFERROR(ROUND(_xlfn.XLOOKUP(B171, $B$1:B170, $AB$1:AB170, 0, 0, -1) * 0.9 + P171 * 0.1, 0), ""))</f>
        <v>741</v>
      </c>
      <c r="AC171" t="s">
        <v>1045</v>
      </c>
    </row>
    <row r="172" spans="1:29" x14ac:dyDescent="0.2">
      <c r="A172" t="s">
        <v>336</v>
      </c>
      <c r="B172" t="s">
        <v>337</v>
      </c>
      <c r="C172" t="s">
        <v>29</v>
      </c>
      <c r="D172" t="s">
        <v>338</v>
      </c>
      <c r="E172" t="s">
        <v>204</v>
      </c>
      <c r="F172" t="s">
        <v>145</v>
      </c>
      <c r="G172" t="s">
        <v>339</v>
      </c>
      <c r="H172" t="s">
        <v>59</v>
      </c>
      <c r="I172" s="2">
        <v>46130</v>
      </c>
      <c r="J172" s="1">
        <v>0.37869212962962961</v>
      </c>
      <c r="K172" t="s">
        <v>833</v>
      </c>
      <c r="L172" t="s">
        <v>1120</v>
      </c>
      <c r="M172" t="s">
        <v>1121</v>
      </c>
      <c r="N172" t="s">
        <v>1106</v>
      </c>
      <c r="O172" t="s">
        <v>1123</v>
      </c>
      <c r="P172">
        <v>15000</v>
      </c>
      <c r="Q172" t="s">
        <v>42</v>
      </c>
      <c r="R172" t="s">
        <v>43</v>
      </c>
      <c r="S172" t="s">
        <v>44</v>
      </c>
      <c r="T172" t="s">
        <v>341</v>
      </c>
      <c r="U172" t="s">
        <v>97</v>
      </c>
      <c r="V172" s="2">
        <v>46084</v>
      </c>
      <c r="W172" t="s">
        <v>48</v>
      </c>
      <c r="X172" t="s">
        <v>49</v>
      </c>
      <c r="Y172">
        <v>352811</v>
      </c>
      <c r="Z172">
        <v>16</v>
      </c>
      <c r="AA172" t="s">
        <v>107</v>
      </c>
      <c r="AB172" cm="1">
        <f t="array" ref="AB172">IF(OR(COUNTIF(K172, "*FAC.C*")&gt;0, COUNTIF(J172, "*チャージ*")&gt;0, COUNTIF(J172, "*ギフト*")&gt;0), IFERROR(_xlfn.XLOOKUP(B172, $B$1:B171, $AB$1:AB171, 0, 0, -1), 0), IFERROR(ROUND(_xlfn.XLOOKUP(B172, $B$1:B171, $AB$1:AB171, 0, 0, -1) * 0.9 + P172 * 0.1, 0), ""))</f>
        <v>15000</v>
      </c>
      <c r="AC172" t="s">
        <v>53</v>
      </c>
    </row>
    <row r="173" spans="1:29" x14ac:dyDescent="0.2">
      <c r="A173" t="s">
        <v>342</v>
      </c>
      <c r="B173" t="s">
        <v>343</v>
      </c>
      <c r="C173" t="s">
        <v>145</v>
      </c>
      <c r="D173" t="s">
        <v>100</v>
      </c>
      <c r="E173" t="s">
        <v>284</v>
      </c>
      <c r="F173" t="s">
        <v>145</v>
      </c>
      <c r="G173" t="s">
        <v>344</v>
      </c>
      <c r="H173" t="s">
        <v>34</v>
      </c>
      <c r="I173" s="2">
        <v>46130</v>
      </c>
      <c r="J173" s="1">
        <v>0.87910879629629635</v>
      </c>
      <c r="K173" t="s">
        <v>271</v>
      </c>
      <c r="L173" t="s">
        <v>1141</v>
      </c>
      <c r="M173" t="s">
        <v>1145</v>
      </c>
      <c r="N173" t="s">
        <v>115</v>
      </c>
      <c r="O173" t="s">
        <v>1147</v>
      </c>
      <c r="P173">
        <v>3680</v>
      </c>
      <c r="Q173" t="s">
        <v>42</v>
      </c>
      <c r="R173" t="s">
        <v>43</v>
      </c>
      <c r="S173" t="s">
        <v>44</v>
      </c>
      <c r="T173" t="s">
        <v>106</v>
      </c>
      <c r="U173" t="s">
        <v>1131</v>
      </c>
      <c r="V173" s="2">
        <v>44109</v>
      </c>
      <c r="W173" t="s">
        <v>48</v>
      </c>
      <c r="X173" t="s">
        <v>49</v>
      </c>
      <c r="Y173" t="s">
        <v>142</v>
      </c>
      <c r="Z173">
        <v>16</v>
      </c>
      <c r="AA173" t="s">
        <v>128</v>
      </c>
      <c r="AB173" cm="1">
        <f t="array" ref="AB173">IF(OR(COUNTIF(K173, "*FAC.C*")&gt;0, COUNTIF(J173, "*チャージ*")&gt;0, COUNTIF(J173, "*ギフト*")&gt;0), IFERROR(_xlfn.XLOOKUP(B173, $B$1:B172, $AB$1:AB172, 0, 0, -1), 0), IFERROR(ROUND(_xlfn.XLOOKUP(B173, $B$1:B172, $AB$1:AB172, 0, 0, -1) * 0.9 + P173 * 0.1, 0), ""))</f>
        <v>997</v>
      </c>
      <c r="AC173" t="s">
        <v>53</v>
      </c>
    </row>
    <row r="174" spans="1:29" x14ac:dyDescent="0.2">
      <c r="A174" t="s">
        <v>347</v>
      </c>
      <c r="B174" t="s">
        <v>348</v>
      </c>
      <c r="C174" t="s">
        <v>145</v>
      </c>
      <c r="D174" t="s">
        <v>349</v>
      </c>
      <c r="E174" t="s">
        <v>350</v>
      </c>
      <c r="F174" t="s">
        <v>29</v>
      </c>
      <c r="G174" t="s">
        <v>351</v>
      </c>
      <c r="H174" t="s">
        <v>34</v>
      </c>
      <c r="I174" s="2">
        <v>46130</v>
      </c>
      <c r="J174" t="s">
        <v>678</v>
      </c>
      <c r="K174" t="s">
        <v>834</v>
      </c>
      <c r="L174" t="s">
        <v>37</v>
      </c>
      <c r="M174" t="s">
        <v>518</v>
      </c>
      <c r="N174" t="s">
        <v>39</v>
      </c>
      <c r="O174" t="s">
        <v>519</v>
      </c>
      <c r="P174" t="s">
        <v>41</v>
      </c>
      <c r="Q174" t="s">
        <v>42</v>
      </c>
      <c r="R174" t="s">
        <v>43</v>
      </c>
      <c r="S174" t="s">
        <v>44</v>
      </c>
      <c r="T174" t="s">
        <v>354</v>
      </c>
      <c r="U174" t="s">
        <v>221</v>
      </c>
      <c r="V174" t="s">
        <v>823</v>
      </c>
      <c r="W174" t="s">
        <v>48</v>
      </c>
      <c r="X174" t="s">
        <v>49</v>
      </c>
      <c r="Y174" t="s">
        <v>142</v>
      </c>
      <c r="Z174" t="s">
        <v>51</v>
      </c>
      <c r="AA174" t="s">
        <v>52</v>
      </c>
      <c r="AB174" cm="1">
        <f t="array" ref="AB174">IF(OR(COUNTIF(K174, "*FAC.C*")&gt;0, COUNTIF(J174, "*チャージ*")&gt;0, COUNTIF(J174, "*ギフト*")&gt;0), IFERROR(_xlfn.XLOOKUP(B174, $B$1:B173, $AB$1:AB173, 0, 0, -1), 0), IFERROR(ROUND(_xlfn.XLOOKUP(B174, $B$1:B173, $AB$1:AB173, 0, 0, -1) * 0.9 + P174 * 0.1, 0), ""))</f>
        <v>5364</v>
      </c>
      <c r="AC174" t="s">
        <v>85</v>
      </c>
    </row>
    <row r="175" spans="1:29" x14ac:dyDescent="0.2">
      <c r="A175" t="s">
        <v>355</v>
      </c>
      <c r="B175" t="s">
        <v>356</v>
      </c>
      <c r="C175" t="s">
        <v>29</v>
      </c>
      <c r="D175" t="s">
        <v>357</v>
      </c>
      <c r="E175" t="s">
        <v>358</v>
      </c>
      <c r="F175" t="s">
        <v>173</v>
      </c>
      <c r="G175" t="s">
        <v>359</v>
      </c>
      <c r="H175" t="s">
        <v>134</v>
      </c>
      <c r="I175" s="2">
        <v>46130</v>
      </c>
      <c r="J175" t="s">
        <v>682</v>
      </c>
      <c r="K175" t="s">
        <v>835</v>
      </c>
      <c r="L175" t="s">
        <v>62</v>
      </c>
      <c r="M175" t="s">
        <v>434</v>
      </c>
      <c r="N175" t="s">
        <v>115</v>
      </c>
      <c r="O175" t="s">
        <v>435</v>
      </c>
      <c r="P175" t="s">
        <v>436</v>
      </c>
      <c r="Q175" t="s">
        <v>42</v>
      </c>
      <c r="R175" t="s">
        <v>43</v>
      </c>
      <c r="S175" t="s">
        <v>44</v>
      </c>
      <c r="T175" t="s">
        <v>364</v>
      </c>
      <c r="U175" t="s">
        <v>221</v>
      </c>
      <c r="V175" t="s">
        <v>823</v>
      </c>
      <c r="W175" t="s">
        <v>48</v>
      </c>
      <c r="X175" t="s">
        <v>49</v>
      </c>
      <c r="Y175" t="s">
        <v>69</v>
      </c>
      <c r="Z175" t="s">
        <v>51</v>
      </c>
      <c r="AA175" t="s">
        <v>107</v>
      </c>
      <c r="AB175" cm="1">
        <f t="array" ref="AB175">IF(OR(COUNTIF(K175, "*FAC.C*")&gt;0, COUNTIF(J175, "*チャージ*")&gt;0, COUNTIF(J175, "*ギフト*")&gt;0), IFERROR(_xlfn.XLOOKUP(B175, $B$1:B174, $AB$1:AB174, 0, 0, -1), 0), IFERROR(ROUND(_xlfn.XLOOKUP(B175, $B$1:B174, $AB$1:AB174, 0, 0, -1) * 0.9 + P175 * 0.1, 0), ""))</f>
        <v>6636</v>
      </c>
      <c r="AC175" t="s">
        <v>85</v>
      </c>
    </row>
    <row r="176" spans="1:29" x14ac:dyDescent="0.2">
      <c r="A176" t="s">
        <v>365</v>
      </c>
      <c r="B176" t="s">
        <v>366</v>
      </c>
      <c r="C176" t="s">
        <v>32</v>
      </c>
      <c r="D176" t="s">
        <v>367</v>
      </c>
      <c r="E176" t="s">
        <v>368</v>
      </c>
      <c r="F176" t="s">
        <v>145</v>
      </c>
      <c r="G176" t="s">
        <v>369</v>
      </c>
      <c r="H176" t="s">
        <v>34</v>
      </c>
      <c r="I176" s="2">
        <v>46130</v>
      </c>
      <c r="J176" t="s">
        <v>687</v>
      </c>
      <c r="K176" t="s">
        <v>836</v>
      </c>
      <c r="L176" t="s">
        <v>113</v>
      </c>
      <c r="M176" t="s">
        <v>138</v>
      </c>
      <c r="N176" t="s">
        <v>39</v>
      </c>
      <c r="O176" t="s">
        <v>139</v>
      </c>
      <c r="P176" t="s">
        <v>140</v>
      </c>
      <c r="Q176" t="s">
        <v>42</v>
      </c>
      <c r="R176" t="s">
        <v>43</v>
      </c>
      <c r="S176" t="s">
        <v>44</v>
      </c>
      <c r="T176" t="s">
        <v>372</v>
      </c>
      <c r="U176" t="s">
        <v>46</v>
      </c>
      <c r="V176" t="s">
        <v>823</v>
      </c>
      <c r="W176" t="s">
        <v>48</v>
      </c>
      <c r="X176" t="s">
        <v>49</v>
      </c>
      <c r="Y176" t="s">
        <v>50</v>
      </c>
      <c r="Z176" t="s">
        <v>51</v>
      </c>
      <c r="AA176" t="s">
        <v>52</v>
      </c>
      <c r="AB176" cm="1">
        <f t="array" ref="AB176">IF(OR(COUNTIF(K176, "*FAC.C*")&gt;0, COUNTIF(J176, "*チャージ*")&gt;0, COUNTIF(J176, "*ギフト*")&gt;0), IFERROR(_xlfn.XLOOKUP(B176, $B$1:B175, $AB$1:AB175, 0, 0, -1), 0), IFERROR(ROUND(_xlfn.XLOOKUP(B176, $B$1:B175, $AB$1:AB175, 0, 0, -1) * 0.9 + P176 * 0.1, 0), ""))</f>
        <v>2288</v>
      </c>
      <c r="AC176" t="s">
        <v>1009</v>
      </c>
    </row>
    <row r="177" spans="1:29" x14ac:dyDescent="0.2">
      <c r="A177" t="s">
        <v>373</v>
      </c>
      <c r="B177" t="s">
        <v>374</v>
      </c>
      <c r="C177" t="s">
        <v>29</v>
      </c>
      <c r="D177" t="s">
        <v>375</v>
      </c>
      <c r="E177" t="s">
        <v>193</v>
      </c>
      <c r="F177" t="s">
        <v>90</v>
      </c>
      <c r="G177" t="s">
        <v>376</v>
      </c>
      <c r="H177" t="s">
        <v>34</v>
      </c>
      <c r="I177" s="2">
        <v>46130</v>
      </c>
      <c r="J177" t="s">
        <v>690</v>
      </c>
      <c r="K177" t="s">
        <v>837</v>
      </c>
      <c r="L177" t="s">
        <v>62</v>
      </c>
      <c r="M177" t="s">
        <v>217</v>
      </c>
      <c r="N177" t="s">
        <v>115</v>
      </c>
      <c r="O177" t="s">
        <v>488</v>
      </c>
      <c r="P177" t="s">
        <v>41</v>
      </c>
      <c r="Q177" t="s">
        <v>42</v>
      </c>
      <c r="R177" t="s">
        <v>43</v>
      </c>
      <c r="S177" t="s">
        <v>44</v>
      </c>
      <c r="T177" t="s">
        <v>379</v>
      </c>
      <c r="U177" t="s">
        <v>46</v>
      </c>
      <c r="V177" t="s">
        <v>823</v>
      </c>
      <c r="W177" t="s">
        <v>48</v>
      </c>
      <c r="X177" t="s">
        <v>49</v>
      </c>
      <c r="Y177" t="s">
        <v>69</v>
      </c>
      <c r="Z177" t="s">
        <v>83</v>
      </c>
      <c r="AA177" t="s">
        <v>84</v>
      </c>
      <c r="AB177" cm="1">
        <f t="array" ref="AB177">IF(OR(COUNTIF(K177, "*FAC.C*")&gt;0, COUNTIF(J177, "*チャージ*")&gt;0, COUNTIF(J177, "*ギフト*")&gt;0), IFERROR(_xlfn.XLOOKUP(B177, $B$1:B176, $AB$1:AB176, 0, 0, -1), 0), IFERROR(ROUND(_xlfn.XLOOKUP(B177, $B$1:B176, $AB$1:AB176, 0, 0, -1) * 0.9 + P177 * 0.1, 0), ""))</f>
        <v>8034</v>
      </c>
      <c r="AC177" t="s">
        <v>85</v>
      </c>
    </row>
    <row r="178" spans="1:29" x14ac:dyDescent="0.2">
      <c r="A178" t="s">
        <v>380</v>
      </c>
      <c r="B178" t="s">
        <v>381</v>
      </c>
      <c r="C178" t="s">
        <v>145</v>
      </c>
      <c r="D178" t="s">
        <v>100</v>
      </c>
      <c r="E178" t="s">
        <v>101</v>
      </c>
      <c r="F178" t="s">
        <v>90</v>
      </c>
      <c r="G178" t="s">
        <v>382</v>
      </c>
      <c r="H178" t="s">
        <v>34</v>
      </c>
      <c r="I178" s="2">
        <v>46130</v>
      </c>
      <c r="J178" t="s">
        <v>693</v>
      </c>
      <c r="K178" t="s">
        <v>838</v>
      </c>
      <c r="L178" t="s">
        <v>125</v>
      </c>
      <c r="M178" t="s">
        <v>217</v>
      </c>
      <c r="N178" t="s">
        <v>115</v>
      </c>
      <c r="O178" t="s">
        <v>218</v>
      </c>
      <c r="P178" t="s">
        <v>219</v>
      </c>
      <c r="Q178" t="s">
        <v>42</v>
      </c>
      <c r="R178" t="s">
        <v>43</v>
      </c>
      <c r="S178" t="s">
        <v>44</v>
      </c>
      <c r="T178" t="s">
        <v>106</v>
      </c>
      <c r="U178" t="s">
        <v>97</v>
      </c>
      <c r="V178" t="s">
        <v>823</v>
      </c>
      <c r="W178" t="s">
        <v>48</v>
      </c>
      <c r="X178" t="s">
        <v>49</v>
      </c>
      <c r="Y178" t="s">
        <v>82</v>
      </c>
      <c r="Z178" t="s">
        <v>70</v>
      </c>
      <c r="AA178" t="s">
        <v>71</v>
      </c>
      <c r="AB178" cm="1">
        <f t="array" ref="AB178">IF(OR(COUNTIF(K178, "*FAC.C*")&gt;0, COUNTIF(J178, "*チャージ*")&gt;0, COUNTIF(J178, "*ギフト*")&gt;0), IFERROR(_xlfn.XLOOKUP(B178, $B$1:B177, $AB$1:AB177, 0, 0, -1), 0), IFERROR(ROUND(_xlfn.XLOOKUP(B178, $B$1:B177, $AB$1:AB177, 0, 0, -1) * 0.9 + P178 * 0.1, 0), ""))</f>
        <v>1512</v>
      </c>
      <c r="AC178" t="s">
        <v>85</v>
      </c>
    </row>
    <row r="179" spans="1:29" x14ac:dyDescent="0.2">
      <c r="A179" t="s">
        <v>385</v>
      </c>
      <c r="B179" t="s">
        <v>386</v>
      </c>
      <c r="C179" t="s">
        <v>173</v>
      </c>
      <c r="D179" t="s">
        <v>100</v>
      </c>
      <c r="E179" t="s">
        <v>387</v>
      </c>
      <c r="F179" t="s">
        <v>29</v>
      </c>
      <c r="G179" t="s">
        <v>388</v>
      </c>
      <c r="H179" t="s">
        <v>59</v>
      </c>
      <c r="I179" s="2">
        <v>46130</v>
      </c>
      <c r="J179" t="s">
        <v>449</v>
      </c>
      <c r="K179" t="s">
        <v>839</v>
      </c>
      <c r="L179" t="s">
        <v>137</v>
      </c>
      <c r="M179" t="s">
        <v>250</v>
      </c>
      <c r="N179" t="s">
        <v>115</v>
      </c>
      <c r="O179" t="s">
        <v>583</v>
      </c>
      <c r="P179" t="s">
        <v>584</v>
      </c>
      <c r="Q179" t="s">
        <v>42</v>
      </c>
      <c r="R179" t="s">
        <v>43</v>
      </c>
      <c r="S179" t="s">
        <v>44</v>
      </c>
      <c r="T179" t="s">
        <v>106</v>
      </c>
      <c r="U179" t="s">
        <v>46</v>
      </c>
      <c r="V179" t="s">
        <v>257</v>
      </c>
      <c r="W179" t="s">
        <v>48</v>
      </c>
      <c r="X179" t="s">
        <v>49</v>
      </c>
      <c r="Y179" t="s">
        <v>142</v>
      </c>
      <c r="Z179" t="s">
        <v>51</v>
      </c>
      <c r="AA179" t="s">
        <v>107</v>
      </c>
      <c r="AB179" cm="1">
        <f t="array" ref="AB179">IF(OR(COUNTIF(K179, "*FAC.C*")&gt;0, COUNTIF(J179, "*チャージ*")&gt;0, COUNTIF(J179, "*ギフト*")&gt;0), IFERROR(_xlfn.XLOOKUP(B179, $B$1:B178, $AB$1:AB178, 0, 0, -1), 0), IFERROR(ROUND(_xlfn.XLOOKUP(B179, $B$1:B178, $AB$1:AB178, 0, 0, -1) * 0.9 + P179 * 0.1, 0), ""))</f>
        <v>5178</v>
      </c>
      <c r="AC179" t="s">
        <v>53</v>
      </c>
    </row>
    <row r="180" spans="1:29" x14ac:dyDescent="0.2">
      <c r="A180" t="s">
        <v>391</v>
      </c>
      <c r="B180" t="s">
        <v>392</v>
      </c>
      <c r="C180" t="s">
        <v>32</v>
      </c>
      <c r="D180" t="s">
        <v>393</v>
      </c>
      <c r="E180" t="s">
        <v>394</v>
      </c>
      <c r="F180" t="s">
        <v>29</v>
      </c>
      <c r="G180" t="s">
        <v>395</v>
      </c>
      <c r="H180" t="s">
        <v>77</v>
      </c>
      <c r="I180" s="2">
        <v>46130</v>
      </c>
      <c r="J180" t="s">
        <v>701</v>
      </c>
      <c r="K180" t="s">
        <v>840</v>
      </c>
      <c r="L180" t="s">
        <v>1079</v>
      </c>
      <c r="M180" t="s">
        <v>1199</v>
      </c>
      <c r="N180" t="s">
        <v>1182</v>
      </c>
      <c r="O180" t="s">
        <v>1200</v>
      </c>
      <c r="P180">
        <v>160</v>
      </c>
      <c r="Q180" t="s">
        <v>42</v>
      </c>
      <c r="R180" t="s">
        <v>43</v>
      </c>
      <c r="S180" t="s">
        <v>44</v>
      </c>
      <c r="T180" t="s">
        <v>399</v>
      </c>
      <c r="U180" t="s">
        <v>200</v>
      </c>
      <c r="V180" s="2">
        <v>45933</v>
      </c>
      <c r="W180" t="s">
        <v>48</v>
      </c>
      <c r="X180" t="s">
        <v>49</v>
      </c>
      <c r="Z180">
        <v>16</v>
      </c>
      <c r="AA180" t="s">
        <v>107</v>
      </c>
      <c r="AB180" cm="1">
        <f t="array" ref="AB180">IF(OR(COUNTIF(K180, "*FAC.C*")&gt;0, COUNTIF(J180, "*チャージ*")&gt;0, COUNTIF(J180, "*ギフト*")&gt;0), IFERROR(_xlfn.XLOOKUP(B180, $B$1:B179, $AB$1:AB179, 0, 0, -1), 0), IFERROR(ROUND(_xlfn.XLOOKUP(B180, $B$1:B179, $AB$1:AB179, 0, 0, -1) * 0.9 + P180 * 0.1, 0), ""))</f>
        <v>327</v>
      </c>
      <c r="AC180" t="s">
        <v>53</v>
      </c>
    </row>
    <row r="181" spans="1:29" x14ac:dyDescent="0.2">
      <c r="A181" t="s">
        <v>400</v>
      </c>
      <c r="B181" t="s">
        <v>401</v>
      </c>
      <c r="C181" t="s">
        <v>32</v>
      </c>
      <c r="D181" t="s">
        <v>402</v>
      </c>
      <c r="E181" t="s">
        <v>403</v>
      </c>
      <c r="F181" t="s">
        <v>32</v>
      </c>
      <c r="G181" t="s">
        <v>404</v>
      </c>
      <c r="H181" t="s">
        <v>59</v>
      </c>
      <c r="I181" s="2">
        <v>46130</v>
      </c>
      <c r="J181" t="s">
        <v>704</v>
      </c>
      <c r="K181" t="s">
        <v>841</v>
      </c>
      <c r="L181" t="s">
        <v>62</v>
      </c>
      <c r="M181" t="s">
        <v>1098</v>
      </c>
      <c r="N181" t="s">
        <v>1099</v>
      </c>
      <c r="O181" t="s">
        <v>1108</v>
      </c>
      <c r="P181">
        <v>160</v>
      </c>
      <c r="Q181" t="s">
        <v>42</v>
      </c>
      <c r="R181" t="s">
        <v>43</v>
      </c>
      <c r="S181" t="s">
        <v>44</v>
      </c>
      <c r="T181" t="s">
        <v>407</v>
      </c>
      <c r="U181" t="s">
        <v>68</v>
      </c>
      <c r="V181" s="2">
        <v>41196</v>
      </c>
      <c r="W181" t="s">
        <v>48</v>
      </c>
      <c r="X181" t="s">
        <v>49</v>
      </c>
      <c r="Y181" t="s">
        <v>69</v>
      </c>
      <c r="Z181">
        <v>16</v>
      </c>
      <c r="AA181" t="s">
        <v>1109</v>
      </c>
      <c r="AB181" cm="1">
        <f t="array" ref="AB181">IF(OR(COUNTIF(K181, "*FAC.C*")&gt;0, COUNTIF(J181, "*チャージ*")&gt;0, COUNTIF(J181, "*ギフト*")&gt;0), IFERROR(_xlfn.XLOOKUP(B181, $B$1:B180, $AB$1:AB180, 0, 0, -1), 0), IFERROR(ROUND(_xlfn.XLOOKUP(B181, $B$1:B180, $AB$1:AB180, 0, 0, -1) * 0.9 + P181 * 0.1, 0), ""))</f>
        <v>160</v>
      </c>
      <c r="AC181" t="s">
        <v>53</v>
      </c>
    </row>
    <row r="182" spans="1:29" x14ac:dyDescent="0.2">
      <c r="A182" t="s">
        <v>408</v>
      </c>
      <c r="B182" t="s">
        <v>409</v>
      </c>
      <c r="C182">
        <v>3</v>
      </c>
      <c r="D182" t="s">
        <v>203</v>
      </c>
      <c r="E182" t="s">
        <v>70</v>
      </c>
      <c r="F182">
        <v>1</v>
      </c>
      <c r="G182">
        <v>889890743613497</v>
      </c>
      <c r="H182" t="s">
        <v>134</v>
      </c>
      <c r="I182" s="2">
        <v>46131</v>
      </c>
      <c r="J182" s="1">
        <v>0.76401620370370371</v>
      </c>
      <c r="K182" t="s">
        <v>843</v>
      </c>
      <c r="L182" t="s">
        <v>1097</v>
      </c>
      <c r="M182" t="s">
        <v>1169</v>
      </c>
      <c r="N182" t="s">
        <v>1072</v>
      </c>
      <c r="O182" t="s">
        <v>1170</v>
      </c>
      <c r="P182">
        <v>650</v>
      </c>
      <c r="Q182" t="s">
        <v>42</v>
      </c>
      <c r="R182" t="s">
        <v>43</v>
      </c>
      <c r="S182" t="s">
        <v>44</v>
      </c>
      <c r="T182" t="s">
        <v>210</v>
      </c>
      <c r="U182" t="s">
        <v>221</v>
      </c>
      <c r="V182" s="2">
        <v>45400</v>
      </c>
      <c r="W182" t="s">
        <v>48</v>
      </c>
      <c r="X182" t="s">
        <v>49</v>
      </c>
      <c r="Z182">
        <v>16</v>
      </c>
      <c r="AA182" t="s">
        <v>52</v>
      </c>
      <c r="AB182" cm="1">
        <f t="array" ref="AB182">IF(OR(COUNTIF(K182, "*FAC.C*")&gt;0, COUNTIF(J182, "*チャージ*")&gt;0, COUNTIF(J182, "*ギフト*")&gt;0), IFERROR(_xlfn.XLOOKUP(B182, $B$1:B181, $AB$1:AB181, 0, 0, -1), 0), IFERROR(ROUND(_xlfn.XLOOKUP(B182, $B$1:B181, $AB$1:AB181, 0, 0, -1) * 0.9 + P182 * 0.1, 0), ""))</f>
        <v>3264</v>
      </c>
      <c r="AC182" t="s">
        <v>1075</v>
      </c>
    </row>
    <row r="183" spans="1:29" x14ac:dyDescent="0.2">
      <c r="A183" t="s">
        <v>411</v>
      </c>
      <c r="B183" t="s">
        <v>412</v>
      </c>
      <c r="C183" t="s">
        <v>173</v>
      </c>
      <c r="D183" t="s">
        <v>74</v>
      </c>
      <c r="E183" t="s">
        <v>111</v>
      </c>
      <c r="F183" t="s">
        <v>29</v>
      </c>
      <c r="G183" t="s">
        <v>413</v>
      </c>
      <c r="H183" t="s">
        <v>134</v>
      </c>
      <c r="I183" s="2">
        <v>46131</v>
      </c>
      <c r="J183" s="1">
        <v>0.28820601851851851</v>
      </c>
      <c r="K183" t="s">
        <v>844</v>
      </c>
      <c r="L183" t="s">
        <v>1097</v>
      </c>
      <c r="M183" t="s">
        <v>1117</v>
      </c>
      <c r="N183" t="s">
        <v>1077</v>
      </c>
      <c r="O183" t="s">
        <v>1118</v>
      </c>
      <c r="P183">
        <v>10000</v>
      </c>
      <c r="Q183" t="s">
        <v>42</v>
      </c>
      <c r="R183" t="s">
        <v>43</v>
      </c>
      <c r="S183" t="s">
        <v>44</v>
      </c>
      <c r="T183" t="s">
        <v>81</v>
      </c>
      <c r="U183" t="s">
        <v>68</v>
      </c>
      <c r="V183" s="2">
        <v>41424</v>
      </c>
      <c r="W183" t="s">
        <v>48</v>
      </c>
      <c r="X183" t="s">
        <v>49</v>
      </c>
      <c r="Z183">
        <v>16</v>
      </c>
      <c r="AA183" t="s">
        <v>1119</v>
      </c>
      <c r="AB183" cm="1">
        <f t="array" ref="AB183">IF(OR(COUNTIF(K183, "*FAC.C*")&gt;0, COUNTIF(J183, "*チャージ*")&gt;0, COUNTIF(J183, "*ギフト*")&gt;0), IFERROR(_xlfn.XLOOKUP(B183, $B$1:B182, $AB$1:AB182, 0, 0, -1), 0), IFERROR(ROUND(_xlfn.XLOOKUP(B183, $B$1:B182, $AB$1:AB182, 0, 0, -1) * 0.9 + P183 * 0.1, 0), ""))</f>
        <v>10000</v>
      </c>
      <c r="AC183" t="s">
        <v>85</v>
      </c>
    </row>
    <row r="184" spans="1:29" x14ac:dyDescent="0.2">
      <c r="A184" t="s">
        <v>415</v>
      </c>
      <c r="B184" t="s">
        <v>416</v>
      </c>
      <c r="C184" t="s">
        <v>29</v>
      </c>
      <c r="D184" t="s">
        <v>417</v>
      </c>
      <c r="E184" t="s">
        <v>350</v>
      </c>
      <c r="F184" t="s">
        <v>32</v>
      </c>
      <c r="G184" t="s">
        <v>418</v>
      </c>
      <c r="H184" t="s">
        <v>34</v>
      </c>
      <c r="I184" s="2">
        <v>46131</v>
      </c>
      <c r="J184" t="s">
        <v>556</v>
      </c>
      <c r="K184" t="s">
        <v>845</v>
      </c>
      <c r="L184" t="s">
        <v>113</v>
      </c>
      <c r="M184" t="s">
        <v>518</v>
      </c>
      <c r="N184" t="s">
        <v>39</v>
      </c>
      <c r="O184" t="s">
        <v>519</v>
      </c>
      <c r="P184" t="s">
        <v>41</v>
      </c>
      <c r="Q184" t="s">
        <v>42</v>
      </c>
      <c r="R184" t="s">
        <v>43</v>
      </c>
      <c r="S184" t="s">
        <v>44</v>
      </c>
      <c r="T184" t="s">
        <v>421</v>
      </c>
      <c r="U184" t="s">
        <v>46</v>
      </c>
      <c r="V184" t="s">
        <v>832</v>
      </c>
      <c r="W184" t="s">
        <v>48</v>
      </c>
      <c r="X184" t="s">
        <v>49</v>
      </c>
      <c r="Y184" t="s">
        <v>142</v>
      </c>
      <c r="Z184" t="s">
        <v>51</v>
      </c>
      <c r="AA184" t="s">
        <v>107</v>
      </c>
      <c r="AB184" cm="1">
        <f t="array" ref="AB184">IF(OR(COUNTIF(K184, "*FAC.C*")&gt;0, COUNTIF(J184, "*チャージ*")&gt;0, COUNTIF(J184, "*ギフト*")&gt;0), IFERROR(_xlfn.XLOOKUP(B184, $B$1:B183, $AB$1:AB183, 0, 0, -1), 0), IFERROR(ROUND(_xlfn.XLOOKUP(B184, $B$1:B183, $AB$1:AB183, 0, 0, -1) * 0.9 + P184 * 0.1, 0), ""))</f>
        <v>5914</v>
      </c>
      <c r="AC184" t="s">
        <v>85</v>
      </c>
    </row>
    <row r="185" spans="1:29" x14ac:dyDescent="0.2">
      <c r="A185" t="s">
        <v>422</v>
      </c>
      <c r="B185" t="s">
        <v>423</v>
      </c>
      <c r="C185" t="s">
        <v>173</v>
      </c>
      <c r="D185" t="s">
        <v>56</v>
      </c>
      <c r="E185" t="s">
        <v>424</v>
      </c>
      <c r="F185" t="s">
        <v>173</v>
      </c>
      <c r="G185" t="s">
        <v>425</v>
      </c>
      <c r="H185" t="s">
        <v>34</v>
      </c>
      <c r="I185" s="2">
        <v>46131</v>
      </c>
      <c r="J185" t="s">
        <v>562</v>
      </c>
      <c r="K185" t="s">
        <v>846</v>
      </c>
      <c r="L185" t="s">
        <v>62</v>
      </c>
      <c r="M185" t="s">
        <v>93</v>
      </c>
      <c r="N185" t="s">
        <v>1182</v>
      </c>
      <c r="O185" t="s">
        <v>1203</v>
      </c>
      <c r="P185">
        <v>320</v>
      </c>
      <c r="Q185" t="s">
        <v>42</v>
      </c>
      <c r="R185" t="s">
        <v>43</v>
      </c>
      <c r="S185" t="s">
        <v>44</v>
      </c>
      <c r="T185" t="s">
        <v>67</v>
      </c>
      <c r="U185" t="s">
        <v>46</v>
      </c>
      <c r="V185" s="2">
        <v>45081</v>
      </c>
      <c r="W185" t="s">
        <v>48</v>
      </c>
      <c r="X185" t="s">
        <v>49</v>
      </c>
      <c r="Y185" t="s">
        <v>69</v>
      </c>
      <c r="Z185">
        <v>16</v>
      </c>
      <c r="AA185" t="s">
        <v>107</v>
      </c>
      <c r="AB185" cm="1">
        <f t="array" ref="AB185">IF(OR(COUNTIF(K185, "*FAC.C*")&gt;0, COUNTIF(J185, "*チャージ*")&gt;0, COUNTIF(J185, "*ギフト*")&gt;0), IFERROR(_xlfn.XLOOKUP(B185, $B$1:B184, $AB$1:AB184, 0, 0, -1), 0), IFERROR(ROUND(_xlfn.XLOOKUP(B185, $B$1:B184, $AB$1:AB184, 0, 0, -1) * 0.9 + P185 * 0.1, 0), ""))</f>
        <v>451</v>
      </c>
      <c r="AC185" t="s">
        <v>1204</v>
      </c>
    </row>
    <row r="186" spans="1:29" x14ac:dyDescent="0.2">
      <c r="A186" t="s">
        <v>428</v>
      </c>
      <c r="B186" t="s">
        <v>429</v>
      </c>
      <c r="C186">
        <v>3</v>
      </c>
      <c r="D186" t="s">
        <v>430</v>
      </c>
      <c r="E186" t="s">
        <v>431</v>
      </c>
      <c r="F186">
        <v>1</v>
      </c>
      <c r="G186" t="s">
        <v>432</v>
      </c>
      <c r="H186" t="s">
        <v>134</v>
      </c>
      <c r="I186" s="2">
        <v>46131</v>
      </c>
      <c r="J186" s="1">
        <v>0.87859953703703708</v>
      </c>
      <c r="K186" t="s">
        <v>847</v>
      </c>
      <c r="L186" t="s">
        <v>137</v>
      </c>
      <c r="M186" t="s">
        <v>1188</v>
      </c>
      <c r="N186" t="s">
        <v>1182</v>
      </c>
      <c r="O186" t="s">
        <v>1189</v>
      </c>
      <c r="P186">
        <v>2200</v>
      </c>
      <c r="Q186" t="s">
        <v>42</v>
      </c>
      <c r="R186" t="s">
        <v>43</v>
      </c>
      <c r="S186" t="s">
        <v>44</v>
      </c>
      <c r="T186" t="s">
        <v>437</v>
      </c>
      <c r="U186" t="s">
        <v>68</v>
      </c>
      <c r="V186" s="2">
        <v>45657</v>
      </c>
      <c r="W186" t="s">
        <v>48</v>
      </c>
      <c r="X186" t="s">
        <v>49</v>
      </c>
      <c r="Y186" t="s">
        <v>142</v>
      </c>
      <c r="Z186">
        <v>16</v>
      </c>
      <c r="AA186" t="s">
        <v>84</v>
      </c>
      <c r="AB186" cm="1">
        <f t="array" ref="AB186">IF(OR(COUNTIF(K186, "*FAC.C*")&gt;0, COUNTIF(J186, "*チャージ*")&gt;0, COUNTIF(J186, "*ギフト*")&gt;0), IFERROR(_xlfn.XLOOKUP(B186, $B$1:B185, $AB$1:AB185, 0, 0, -1), 0), IFERROR(ROUND(_xlfn.XLOOKUP(B186, $B$1:B185, $AB$1:AB185, 0, 0, -1) * 0.9 + P186 * 0.1, 0), ""))</f>
        <v>418</v>
      </c>
      <c r="AC186" t="s">
        <v>53</v>
      </c>
    </row>
    <row r="187" spans="1:29" x14ac:dyDescent="0.2">
      <c r="A187" t="s">
        <v>438</v>
      </c>
      <c r="B187" t="s">
        <v>439</v>
      </c>
      <c r="C187" t="s">
        <v>32</v>
      </c>
      <c r="D187" t="s">
        <v>440</v>
      </c>
      <c r="E187" t="s">
        <v>175</v>
      </c>
      <c r="F187" t="s">
        <v>90</v>
      </c>
      <c r="G187" t="s">
        <v>441</v>
      </c>
      <c r="H187" t="s">
        <v>59</v>
      </c>
      <c r="I187" s="2">
        <v>46131</v>
      </c>
      <c r="J187" t="s">
        <v>574</v>
      </c>
      <c r="K187" t="s">
        <v>848</v>
      </c>
      <c r="L187" t="s">
        <v>137</v>
      </c>
      <c r="M187" t="s">
        <v>1073</v>
      </c>
      <c r="N187" t="s">
        <v>39</v>
      </c>
      <c r="O187" t="s">
        <v>749</v>
      </c>
      <c r="P187" t="s">
        <v>363</v>
      </c>
      <c r="Q187" t="s">
        <v>42</v>
      </c>
      <c r="R187" t="s">
        <v>43</v>
      </c>
      <c r="S187" t="s">
        <v>44</v>
      </c>
      <c r="T187" t="s">
        <v>444</v>
      </c>
      <c r="U187" t="s">
        <v>200</v>
      </c>
      <c r="V187" s="2">
        <v>45959</v>
      </c>
      <c r="W187" t="s">
        <v>48</v>
      </c>
      <c r="X187" t="s">
        <v>49</v>
      </c>
      <c r="Y187" t="s">
        <v>142</v>
      </c>
      <c r="Z187">
        <v>14</v>
      </c>
      <c r="AA187" t="s">
        <v>107</v>
      </c>
      <c r="AB187" cm="1">
        <f t="array" ref="AB187">IF(OR(COUNTIF(K187, "*FAC.C*")&gt;0, COUNTIF(J187, "*チャージ*")&gt;0, COUNTIF(J187, "*ギフト*")&gt;0), IFERROR(_xlfn.XLOOKUP(B187, $B$1:B186, $AB$1:AB186, 0, 0, -1), 0), IFERROR(ROUND(_xlfn.XLOOKUP(B187, $B$1:B186, $AB$1:AB186, 0, 0, -1) * 0.9 + P187 * 0.1, 0), ""))</f>
        <v>1991</v>
      </c>
      <c r="AC187" t="s">
        <v>85</v>
      </c>
    </row>
    <row r="188" spans="1:29" x14ac:dyDescent="0.2">
      <c r="A188" t="s">
        <v>445</v>
      </c>
      <c r="B188" t="s">
        <v>446</v>
      </c>
      <c r="C188">
        <v>2</v>
      </c>
      <c r="D188" t="s">
        <v>447</v>
      </c>
      <c r="E188" t="s">
        <v>292</v>
      </c>
      <c r="F188">
        <v>1</v>
      </c>
      <c r="G188" t="s">
        <v>448</v>
      </c>
      <c r="H188" t="s">
        <v>77</v>
      </c>
      <c r="I188" s="2">
        <v>46131</v>
      </c>
      <c r="J188" t="s">
        <v>581</v>
      </c>
      <c r="K188" t="s">
        <v>849</v>
      </c>
      <c r="L188" t="s">
        <v>37</v>
      </c>
      <c r="M188" t="s">
        <v>217</v>
      </c>
      <c r="N188" t="s">
        <v>1182</v>
      </c>
      <c r="O188" t="s">
        <v>1185</v>
      </c>
      <c r="P188">
        <v>800</v>
      </c>
      <c r="Q188" t="s">
        <v>42</v>
      </c>
      <c r="R188" t="s">
        <v>43</v>
      </c>
      <c r="S188" t="s">
        <v>44</v>
      </c>
      <c r="T188" t="s">
        <v>451</v>
      </c>
      <c r="U188" t="s">
        <v>97</v>
      </c>
      <c r="V188" s="2">
        <v>45340</v>
      </c>
      <c r="W188" t="s">
        <v>48</v>
      </c>
      <c r="X188" t="s">
        <v>49</v>
      </c>
      <c r="Y188" t="s">
        <v>142</v>
      </c>
      <c r="Z188">
        <v>16</v>
      </c>
      <c r="AA188" t="s">
        <v>52</v>
      </c>
      <c r="AB188" cm="1">
        <f t="array" ref="AB188">IF(OR(COUNTIF(K188, "*FAC.C*")&gt;0, COUNTIF(J188, "*チャージ*")&gt;0, COUNTIF(J188, "*ギフト*")&gt;0), IFERROR(_xlfn.XLOOKUP(B188, $B$1:B187, $AB$1:AB187, 0, 0, -1), 0), IFERROR(ROUND(_xlfn.XLOOKUP(B188, $B$1:B187, $AB$1:AB187, 0, 0, -1) * 0.9 + P188 * 0.1, 0), ""))</f>
        <v>573</v>
      </c>
      <c r="AC188" t="s">
        <v>1184</v>
      </c>
    </row>
    <row r="189" spans="1:29" x14ac:dyDescent="0.2">
      <c r="A189" t="s">
        <v>452</v>
      </c>
      <c r="B189" t="s">
        <v>453</v>
      </c>
      <c r="C189" t="s">
        <v>32</v>
      </c>
      <c r="D189" t="s">
        <v>454</v>
      </c>
      <c r="E189" t="s">
        <v>455</v>
      </c>
      <c r="F189" t="s">
        <v>145</v>
      </c>
      <c r="G189" t="s">
        <v>456</v>
      </c>
      <c r="H189" t="s">
        <v>34</v>
      </c>
      <c r="I189" s="2">
        <v>46131</v>
      </c>
      <c r="J189" t="s">
        <v>590</v>
      </c>
      <c r="K189" t="s">
        <v>850</v>
      </c>
      <c r="L189" t="s">
        <v>62</v>
      </c>
      <c r="M189" t="s">
        <v>104</v>
      </c>
      <c r="N189" t="s">
        <v>39</v>
      </c>
      <c r="O189" t="s">
        <v>105</v>
      </c>
      <c r="P189" t="s">
        <v>95</v>
      </c>
      <c r="Q189" t="s">
        <v>42</v>
      </c>
      <c r="R189" t="s">
        <v>43</v>
      </c>
      <c r="S189" t="s">
        <v>44</v>
      </c>
      <c r="T189" t="s">
        <v>460</v>
      </c>
      <c r="U189" t="s">
        <v>200</v>
      </c>
      <c r="V189" t="s">
        <v>669</v>
      </c>
      <c r="W189" t="s">
        <v>48</v>
      </c>
      <c r="X189" t="s">
        <v>49</v>
      </c>
      <c r="Y189" t="s">
        <v>69</v>
      </c>
      <c r="Z189" t="s">
        <v>70</v>
      </c>
      <c r="AA189" t="s">
        <v>128</v>
      </c>
      <c r="AB189" cm="1">
        <f t="array" ref="AB189">IF(OR(COUNTIF(K189, "*FAC.C*")&gt;0, COUNTIF(J189, "*チャージ*")&gt;0, COUNTIF(J189, "*ギフト*")&gt;0), IFERROR(_xlfn.XLOOKUP(B189, $B$1:B188, $AB$1:AB188, 0, 0, -1), 0), IFERROR(ROUND(_xlfn.XLOOKUP(B189, $B$1:B188, $AB$1:AB188, 0, 0, -1) * 0.9 + P189 * 0.1, 0), ""))</f>
        <v>6033</v>
      </c>
      <c r="AC189" t="s">
        <v>85</v>
      </c>
    </row>
    <row r="190" spans="1:29" x14ac:dyDescent="0.2">
      <c r="A190" t="s">
        <v>461</v>
      </c>
      <c r="B190" t="s">
        <v>462</v>
      </c>
      <c r="C190" t="s">
        <v>173</v>
      </c>
      <c r="D190" t="s">
        <v>463</v>
      </c>
      <c r="E190" t="s">
        <v>31</v>
      </c>
      <c r="F190">
        <v>2</v>
      </c>
      <c r="G190" t="s">
        <v>777</v>
      </c>
      <c r="H190" t="s">
        <v>77</v>
      </c>
      <c r="I190" s="2">
        <v>46131</v>
      </c>
      <c r="J190" t="s">
        <v>595</v>
      </c>
      <c r="K190" t="s">
        <v>851</v>
      </c>
      <c r="L190" t="s">
        <v>113</v>
      </c>
      <c r="M190" t="s">
        <v>38</v>
      </c>
      <c r="N190" t="s">
        <v>1072</v>
      </c>
      <c r="O190" t="s">
        <v>40</v>
      </c>
      <c r="P190">
        <v>1000</v>
      </c>
      <c r="Q190" t="s">
        <v>42</v>
      </c>
      <c r="R190" t="s">
        <v>43</v>
      </c>
      <c r="S190" t="s">
        <v>44</v>
      </c>
      <c r="T190" t="s">
        <v>467</v>
      </c>
      <c r="U190" t="s">
        <v>46</v>
      </c>
      <c r="V190" s="2">
        <v>46115</v>
      </c>
      <c r="W190" t="s">
        <v>48</v>
      </c>
      <c r="X190" t="s">
        <v>49</v>
      </c>
      <c r="Z190">
        <v>14</v>
      </c>
      <c r="AA190" t="s">
        <v>1086</v>
      </c>
      <c r="AB190" cm="1">
        <f t="array" ref="AB190">IF(OR(COUNTIF(K190, "*FAC.C*")&gt;0, COUNTIF(J190, "*チャージ*")&gt;0, COUNTIF(J190, "*ギフト*")&gt;0), IFERROR(_xlfn.XLOOKUP(B190, $B$1:B189, $AB$1:AB189, 0, 0, -1), 0), IFERROR(ROUND(_xlfn.XLOOKUP(B190, $B$1:B189, $AB$1:AB189, 0, 0, -1) * 0.9 + P190 * 0.1, 0), ""))</f>
        <v>1420</v>
      </c>
      <c r="AC190" t="s">
        <v>53</v>
      </c>
    </row>
    <row r="191" spans="1:29" x14ac:dyDescent="0.2">
      <c r="A191" t="s">
        <v>468</v>
      </c>
      <c r="B191" t="s">
        <v>469</v>
      </c>
      <c r="C191">
        <v>1</v>
      </c>
      <c r="D191" t="s">
        <v>470</v>
      </c>
      <c r="E191" t="s">
        <v>471</v>
      </c>
      <c r="F191">
        <v>1</v>
      </c>
      <c r="G191" t="s">
        <v>472</v>
      </c>
      <c r="H191" t="s">
        <v>77</v>
      </c>
      <c r="I191" s="2">
        <v>46131</v>
      </c>
      <c r="J191" t="s">
        <v>600</v>
      </c>
      <c r="K191" t="s">
        <v>1093</v>
      </c>
      <c r="L191" t="s">
        <v>62</v>
      </c>
      <c r="M191" t="s">
        <v>1095</v>
      </c>
      <c r="N191" t="s">
        <v>115</v>
      </c>
      <c r="O191" t="s">
        <v>1096</v>
      </c>
      <c r="P191">
        <v>200</v>
      </c>
      <c r="Q191" t="s">
        <v>42</v>
      </c>
      <c r="R191" t="s">
        <v>43</v>
      </c>
      <c r="S191" t="s">
        <v>44</v>
      </c>
      <c r="T191" t="s">
        <v>474</v>
      </c>
      <c r="U191" t="s">
        <v>221</v>
      </c>
      <c r="V191" s="2">
        <v>40638</v>
      </c>
      <c r="W191" t="s">
        <v>48</v>
      </c>
      <c r="X191" t="s">
        <v>49</v>
      </c>
      <c r="Y191" t="s">
        <v>69</v>
      </c>
      <c r="Z191">
        <v>14</v>
      </c>
      <c r="AA191" t="s">
        <v>1091</v>
      </c>
      <c r="AB191" cm="1">
        <f t="array" ref="AB191">IF(OR(COUNTIF(K191, "*FAC.C*")&gt;0, COUNTIF(J191, "*チャージ*")&gt;0, COUNTIF(J191, "*ギフト*")&gt;0), IFERROR(_xlfn.XLOOKUP(B191, $B$1:B190, $AB$1:AB190, 0, 0, -1), 0), IFERROR(ROUND(_xlfn.XLOOKUP(B191, $B$1:B190, $AB$1:AB190, 0, 0, -1) * 0.9 + P191 * 0.1, 0), ""))</f>
        <v>200</v>
      </c>
      <c r="AC191" t="s">
        <v>85</v>
      </c>
    </row>
    <row r="192" spans="1:29" x14ac:dyDescent="0.2">
      <c r="A192" t="s">
        <v>475</v>
      </c>
      <c r="B192" t="s">
        <v>476</v>
      </c>
      <c r="C192" t="s">
        <v>173</v>
      </c>
      <c r="D192" t="s">
        <v>477</v>
      </c>
      <c r="E192" t="s">
        <v>368</v>
      </c>
      <c r="F192" t="s">
        <v>32</v>
      </c>
      <c r="G192" t="s">
        <v>478</v>
      </c>
      <c r="H192" t="s">
        <v>34</v>
      </c>
      <c r="I192" s="2">
        <v>46132</v>
      </c>
      <c r="J192" t="s">
        <v>607</v>
      </c>
      <c r="K192" t="s">
        <v>853</v>
      </c>
      <c r="L192" t="s">
        <v>125</v>
      </c>
      <c r="M192" t="s">
        <v>114</v>
      </c>
      <c r="N192" t="s">
        <v>115</v>
      </c>
      <c r="O192" t="s">
        <v>398</v>
      </c>
      <c r="P192" t="s">
        <v>198</v>
      </c>
      <c r="Q192" t="s">
        <v>42</v>
      </c>
      <c r="R192" t="s">
        <v>43</v>
      </c>
      <c r="S192" t="s">
        <v>44</v>
      </c>
      <c r="T192" t="s">
        <v>481</v>
      </c>
      <c r="U192" t="s">
        <v>46</v>
      </c>
      <c r="V192" t="s">
        <v>842</v>
      </c>
      <c r="W192" t="s">
        <v>48</v>
      </c>
      <c r="X192" t="s">
        <v>49</v>
      </c>
      <c r="Y192" t="s">
        <v>82</v>
      </c>
      <c r="Z192" t="s">
        <v>70</v>
      </c>
      <c r="AA192" t="s">
        <v>128</v>
      </c>
      <c r="AB192" cm="1">
        <f t="array" ref="AB192">IF(OR(COUNTIF(K192, "*FAC.C*")&gt;0, COUNTIF(J192, "*チャージ*")&gt;0, COUNTIF(J192, "*ギフト*")&gt;0), IFERROR(_xlfn.XLOOKUP(B192, $B$1:B191, $AB$1:AB191, 0, 0, -1), 0), IFERROR(ROUND(_xlfn.XLOOKUP(B192, $B$1:B191, $AB$1:AB191, 0, 0, -1) * 0.9 + P192 * 0.1, 0), ""))</f>
        <v>5025</v>
      </c>
      <c r="AC192" t="s">
        <v>85</v>
      </c>
    </row>
    <row r="193" spans="1:29" x14ac:dyDescent="0.2">
      <c r="A193" t="s">
        <v>482</v>
      </c>
      <c r="B193" t="s">
        <v>483</v>
      </c>
      <c r="C193">
        <v>3</v>
      </c>
      <c r="D193" t="s">
        <v>484</v>
      </c>
      <c r="E193">
        <v>75</v>
      </c>
      <c r="F193" t="s">
        <v>173</v>
      </c>
      <c r="G193" t="s">
        <v>485</v>
      </c>
      <c r="H193" t="s">
        <v>34</v>
      </c>
      <c r="I193" s="2">
        <v>46132</v>
      </c>
      <c r="J193" s="1">
        <v>0.41370370370370368</v>
      </c>
      <c r="K193" t="s">
        <v>854</v>
      </c>
      <c r="L193" t="s">
        <v>1097</v>
      </c>
      <c r="M193" t="s">
        <v>1159</v>
      </c>
      <c r="N193" t="s">
        <v>1106</v>
      </c>
      <c r="O193" t="s">
        <v>1161</v>
      </c>
      <c r="P193">
        <v>3000</v>
      </c>
      <c r="Q193" t="s">
        <v>42</v>
      </c>
      <c r="R193" t="s">
        <v>43</v>
      </c>
      <c r="S193" t="s">
        <v>44</v>
      </c>
      <c r="T193" t="s">
        <v>489</v>
      </c>
      <c r="U193" t="s">
        <v>200</v>
      </c>
      <c r="V193" t="s">
        <v>405</v>
      </c>
      <c r="W193" t="s">
        <v>48</v>
      </c>
      <c r="X193" t="s">
        <v>49</v>
      </c>
      <c r="Z193" t="s">
        <v>70</v>
      </c>
      <c r="AA193" t="s">
        <v>71</v>
      </c>
      <c r="AB193">
        <v>2500</v>
      </c>
      <c r="AC193" t="s">
        <v>85</v>
      </c>
    </row>
    <row r="194" spans="1:29" x14ac:dyDescent="0.2">
      <c r="A194" t="s">
        <v>490</v>
      </c>
      <c r="B194" t="s">
        <v>491</v>
      </c>
      <c r="C194" t="s">
        <v>145</v>
      </c>
      <c r="D194" t="s">
        <v>131</v>
      </c>
      <c r="E194" t="s">
        <v>492</v>
      </c>
      <c r="F194" t="s">
        <v>145</v>
      </c>
      <c r="G194" t="s">
        <v>493</v>
      </c>
      <c r="H194" t="s">
        <v>34</v>
      </c>
      <c r="I194" s="2">
        <v>46132</v>
      </c>
      <c r="J194" t="s">
        <v>620</v>
      </c>
      <c r="K194" t="s">
        <v>855</v>
      </c>
      <c r="L194" t="s">
        <v>113</v>
      </c>
      <c r="M194" t="s">
        <v>217</v>
      </c>
      <c r="N194" t="s">
        <v>115</v>
      </c>
      <c r="O194" t="s">
        <v>488</v>
      </c>
      <c r="P194" t="s">
        <v>41</v>
      </c>
      <c r="Q194" t="s">
        <v>42</v>
      </c>
      <c r="R194" t="s">
        <v>43</v>
      </c>
      <c r="S194" t="s">
        <v>44</v>
      </c>
      <c r="T194" t="s">
        <v>141</v>
      </c>
      <c r="U194" t="s">
        <v>97</v>
      </c>
      <c r="V194" t="s">
        <v>842</v>
      </c>
      <c r="W194" t="s">
        <v>48</v>
      </c>
      <c r="X194" t="s">
        <v>49</v>
      </c>
      <c r="Y194" t="s">
        <v>50</v>
      </c>
      <c r="Z194" t="s">
        <v>51</v>
      </c>
      <c r="AA194" t="s">
        <v>52</v>
      </c>
      <c r="AB194" cm="1">
        <f t="array" ref="AB194">IF(OR(COUNTIF(K194, "*FAC.C*")&gt;0, COUNTIF(J194, "*チャージ*")&gt;0, COUNTIF(J194, "*ギフト*")&gt;0), IFERROR(_xlfn.XLOOKUP(B194, $B$1:B193, $AB$1:AB193, 0, 0, -1), 0), IFERROR(ROUND(_xlfn.XLOOKUP(B194, $B$1:B193, $AB$1:AB193, 0, 0, -1) * 0.9 + P194 * 0.1, 0), ""))</f>
        <v>8061</v>
      </c>
      <c r="AC194" t="s">
        <v>85</v>
      </c>
    </row>
    <row r="195" spans="1:29" x14ac:dyDescent="0.2">
      <c r="A195" t="s">
        <v>498</v>
      </c>
      <c r="B195" t="s">
        <v>499</v>
      </c>
      <c r="C195" t="s">
        <v>145</v>
      </c>
      <c r="D195" t="s">
        <v>500</v>
      </c>
      <c r="E195" t="s">
        <v>247</v>
      </c>
      <c r="F195" t="s">
        <v>145</v>
      </c>
      <c r="G195" t="s">
        <v>501</v>
      </c>
      <c r="H195" t="s">
        <v>34</v>
      </c>
      <c r="I195" s="2">
        <v>46132</v>
      </c>
      <c r="J195" t="s">
        <v>626</v>
      </c>
      <c r="K195" t="s">
        <v>856</v>
      </c>
      <c r="L195" t="s">
        <v>62</v>
      </c>
      <c r="M195" t="s">
        <v>138</v>
      </c>
      <c r="N195" t="s">
        <v>39</v>
      </c>
      <c r="O195" t="s">
        <v>304</v>
      </c>
      <c r="P195" t="s">
        <v>41</v>
      </c>
      <c r="Q195" t="s">
        <v>42</v>
      </c>
      <c r="R195" t="s">
        <v>43</v>
      </c>
      <c r="S195" t="s">
        <v>44</v>
      </c>
      <c r="T195" t="s">
        <v>505</v>
      </c>
      <c r="U195" t="s">
        <v>68</v>
      </c>
      <c r="V195" t="s">
        <v>405</v>
      </c>
      <c r="W195" t="s">
        <v>48</v>
      </c>
      <c r="X195" t="s">
        <v>49</v>
      </c>
      <c r="Y195" t="s">
        <v>69</v>
      </c>
      <c r="Z195" t="s">
        <v>83</v>
      </c>
      <c r="AA195" t="s">
        <v>84</v>
      </c>
      <c r="AB195" cm="1">
        <f t="array" ref="AB195">IF(OR(COUNTIF(K195, "*FAC.C*")&gt;0, COUNTIF(J195, "*チャージ*")&gt;0, COUNTIF(J195, "*ギフト*")&gt;0), IFERROR(_xlfn.XLOOKUP(B195, $B$1:B194, $AB$1:AB194, 0, 0, -1), 0), IFERROR(ROUND(_xlfn.XLOOKUP(B195, $B$1:B194, $AB$1:AB194, 0, 0, -1) * 0.9 + P195 * 0.1, 0), ""))</f>
        <v>6164</v>
      </c>
      <c r="AC195" t="s">
        <v>85</v>
      </c>
    </row>
    <row r="196" spans="1:29" x14ac:dyDescent="0.2">
      <c r="A196" t="s">
        <v>506</v>
      </c>
      <c r="B196" t="s">
        <v>507</v>
      </c>
      <c r="C196" t="s">
        <v>29</v>
      </c>
      <c r="D196" t="s">
        <v>88</v>
      </c>
      <c r="E196" t="s">
        <v>31</v>
      </c>
      <c r="F196" t="s">
        <v>90</v>
      </c>
      <c r="G196" t="s">
        <v>508</v>
      </c>
      <c r="H196" t="s">
        <v>134</v>
      </c>
      <c r="I196" s="2">
        <v>46132</v>
      </c>
      <c r="J196" t="s">
        <v>633</v>
      </c>
      <c r="K196" t="s">
        <v>857</v>
      </c>
      <c r="L196" t="s">
        <v>37</v>
      </c>
      <c r="M196" t="s">
        <v>126</v>
      </c>
      <c r="N196" t="s">
        <v>115</v>
      </c>
      <c r="O196" t="s">
        <v>858</v>
      </c>
      <c r="P196" t="s">
        <v>140</v>
      </c>
      <c r="Q196" t="s">
        <v>42</v>
      </c>
      <c r="R196" t="s">
        <v>43</v>
      </c>
      <c r="S196" t="s">
        <v>44</v>
      </c>
      <c r="T196" t="s">
        <v>96</v>
      </c>
      <c r="U196" t="s">
        <v>68</v>
      </c>
      <c r="V196" t="s">
        <v>842</v>
      </c>
      <c r="W196" t="s">
        <v>48</v>
      </c>
      <c r="X196" t="s">
        <v>49</v>
      </c>
      <c r="Y196" t="s">
        <v>82</v>
      </c>
      <c r="Z196" t="s">
        <v>83</v>
      </c>
      <c r="AA196" t="s">
        <v>84</v>
      </c>
      <c r="AB196" cm="1">
        <f t="array" ref="AB196">IF(OR(COUNTIF(K196, "*FAC.C*")&gt;0, COUNTIF(J196, "*チャージ*")&gt;0, COUNTIF(J196, "*ギフト*")&gt;0), IFERROR(_xlfn.XLOOKUP(B196, $B$1:B195, $AB$1:AB195, 0, 0, -1), 0), IFERROR(ROUND(_xlfn.XLOOKUP(B196, $B$1:B195, $AB$1:AB195, 0, 0, -1) * 0.9 + P196 * 0.1, 0), ""))</f>
        <v>1004</v>
      </c>
      <c r="AC196" t="s">
        <v>53</v>
      </c>
    </row>
    <row r="197" spans="1:29" x14ac:dyDescent="0.2">
      <c r="A197" t="s">
        <v>380</v>
      </c>
      <c r="B197" t="s">
        <v>750</v>
      </c>
      <c r="C197" t="s">
        <v>145</v>
      </c>
      <c r="D197" t="s">
        <v>100</v>
      </c>
      <c r="E197" t="s">
        <v>101</v>
      </c>
      <c r="F197">
        <v>3</v>
      </c>
      <c r="G197" t="s">
        <v>751</v>
      </c>
      <c r="H197" t="s">
        <v>34</v>
      </c>
      <c r="I197" s="2">
        <v>46132</v>
      </c>
      <c r="J197" t="s">
        <v>639</v>
      </c>
      <c r="K197" t="s">
        <v>859</v>
      </c>
      <c r="L197" t="s">
        <v>80</v>
      </c>
      <c r="M197" t="s">
        <v>1076</v>
      </c>
      <c r="N197" t="s">
        <v>1077</v>
      </c>
      <c r="O197" t="s">
        <v>65</v>
      </c>
      <c r="P197" t="s">
        <v>66</v>
      </c>
      <c r="Q197" t="s">
        <v>42</v>
      </c>
      <c r="R197" t="s">
        <v>43</v>
      </c>
      <c r="S197" t="s">
        <v>44</v>
      </c>
      <c r="T197" t="s">
        <v>106</v>
      </c>
      <c r="U197" t="s">
        <v>68</v>
      </c>
      <c r="V197" s="2">
        <v>45986</v>
      </c>
      <c r="W197" t="s">
        <v>48</v>
      </c>
      <c r="X197" t="s">
        <v>49</v>
      </c>
      <c r="Z197" t="s">
        <v>70</v>
      </c>
      <c r="AA197" t="s">
        <v>71</v>
      </c>
      <c r="AB197" cm="1">
        <f t="array" ref="AB197">IF(OR(COUNTIF(K197, "*FAC.C*")&gt;0, COUNTIF(J197, "*チャージ*")&gt;0, COUNTIF(J197, "*ギフト*")&gt;0), IFERROR(_xlfn.XLOOKUP(B197, $B$1:B196, $AB$1:AB196, 0, 0, -1), 0), IFERROR(ROUND(_xlfn.XLOOKUP(B197, $B$1:B196, $AB$1:AB196, 0, 0, -1) * 0.9 + P197 * 0.1, 0), ""))</f>
        <v>8928</v>
      </c>
      <c r="AC197" t="s">
        <v>1075</v>
      </c>
    </row>
    <row r="198" spans="1:29" x14ac:dyDescent="0.2">
      <c r="A198" t="s">
        <v>252</v>
      </c>
      <c r="B198" t="s">
        <v>753</v>
      </c>
      <c r="C198" t="s">
        <v>32</v>
      </c>
      <c r="D198" t="s">
        <v>254</v>
      </c>
      <c r="E198" t="s">
        <v>255</v>
      </c>
      <c r="F198" t="s">
        <v>173</v>
      </c>
      <c r="G198" t="s">
        <v>754</v>
      </c>
      <c r="H198" t="s">
        <v>59</v>
      </c>
      <c r="I198" s="2">
        <v>46123</v>
      </c>
      <c r="J198" s="1">
        <v>0.93068287037037034</v>
      </c>
      <c r="K198" t="s">
        <v>860</v>
      </c>
      <c r="L198" t="s">
        <v>1190</v>
      </c>
      <c r="M198" t="s">
        <v>1196</v>
      </c>
      <c r="N198" t="s">
        <v>115</v>
      </c>
      <c r="O198" t="s">
        <v>1198</v>
      </c>
      <c r="P198">
        <v>320</v>
      </c>
      <c r="Q198" t="s">
        <v>42</v>
      </c>
      <c r="R198" t="s">
        <v>43</v>
      </c>
      <c r="S198" t="s">
        <v>44</v>
      </c>
      <c r="T198" t="s">
        <v>260</v>
      </c>
      <c r="U198" t="s">
        <v>97</v>
      </c>
      <c r="V198" s="2">
        <v>46063</v>
      </c>
      <c r="W198" t="s">
        <v>48</v>
      </c>
      <c r="X198" t="s">
        <v>49</v>
      </c>
      <c r="Z198">
        <v>16</v>
      </c>
      <c r="AA198" t="s">
        <v>128</v>
      </c>
      <c r="AB198" cm="1">
        <f t="array" ref="AB198">IF(OR(COUNTIF(K198, "*FAC.C*")&gt;0, COUNTIF(J198, "*チャージ*")&gt;0, COUNTIF(J198, "*ギフト*")&gt;0), IFERROR(_xlfn.XLOOKUP(B198, $B$1:B197, $AB$1:AB197, 0, 0, -1), 0), IFERROR(ROUND(_xlfn.XLOOKUP(B198, $B$1:B197, $AB$1:AB197, 0, 0, -1) * 0.9 + P198 * 0.1, 0), ""))</f>
        <v>1544</v>
      </c>
      <c r="AC198" t="s">
        <v>53</v>
      </c>
    </row>
    <row r="199" spans="1:29" x14ac:dyDescent="0.2">
      <c r="A199" t="s">
        <v>408</v>
      </c>
      <c r="B199" t="s">
        <v>756</v>
      </c>
      <c r="C199">
        <v>3</v>
      </c>
      <c r="D199" t="s">
        <v>203</v>
      </c>
      <c r="E199">
        <v>40</v>
      </c>
      <c r="F199">
        <v>1</v>
      </c>
      <c r="G199">
        <v>388360722596965</v>
      </c>
      <c r="H199" t="s">
        <v>134</v>
      </c>
      <c r="I199" s="2">
        <v>46132</v>
      </c>
      <c r="J199" t="s">
        <v>651</v>
      </c>
      <c r="K199" t="s">
        <v>861</v>
      </c>
      <c r="L199" t="s">
        <v>1079</v>
      </c>
      <c r="M199" t="s">
        <v>1081</v>
      </c>
      <c r="N199" t="s">
        <v>1072</v>
      </c>
      <c r="O199" t="s">
        <v>1172</v>
      </c>
      <c r="P199">
        <v>610</v>
      </c>
      <c r="Q199" t="s">
        <v>42</v>
      </c>
      <c r="R199" t="s">
        <v>43</v>
      </c>
      <c r="S199" t="s">
        <v>44</v>
      </c>
      <c r="T199" t="s">
        <v>210</v>
      </c>
      <c r="U199" t="s">
        <v>221</v>
      </c>
      <c r="V199" s="2">
        <v>45261</v>
      </c>
      <c r="W199" t="s">
        <v>48</v>
      </c>
      <c r="X199" t="s">
        <v>49</v>
      </c>
      <c r="Z199">
        <v>16</v>
      </c>
      <c r="AA199" t="s">
        <v>1171</v>
      </c>
      <c r="AB199" cm="1">
        <f t="array" ref="AB199">IF(OR(COUNTIF(K199, "*FAC.C*")&gt;0, COUNTIF(J199, "*チャージ*")&gt;0, COUNTIF(J199, "*ギフト*")&gt;0), IFERROR(_xlfn.XLOOKUP(B199, $B$1:B198, $AB$1:AB198, 0, 0, -1), 0), IFERROR(ROUND(_xlfn.XLOOKUP(B199, $B$1:B198, $AB$1:AB198, 0, 0, -1) * 0.9 + P199 * 0.1, 0), ""))</f>
        <v>610</v>
      </c>
      <c r="AC199" t="s">
        <v>1075</v>
      </c>
    </row>
    <row r="200" spans="1:29" x14ac:dyDescent="0.2">
      <c r="A200" t="s">
        <v>445</v>
      </c>
      <c r="B200" t="s">
        <v>758</v>
      </c>
      <c r="C200">
        <v>2</v>
      </c>
      <c r="D200" t="s">
        <v>447</v>
      </c>
      <c r="E200" t="s">
        <v>292</v>
      </c>
      <c r="F200">
        <v>1</v>
      </c>
      <c r="G200" t="s">
        <v>759</v>
      </c>
      <c r="H200" t="s">
        <v>77</v>
      </c>
      <c r="I200" s="2">
        <v>46132</v>
      </c>
      <c r="J200" t="s">
        <v>658</v>
      </c>
      <c r="K200" t="s">
        <v>862</v>
      </c>
      <c r="L200" t="s">
        <v>125</v>
      </c>
      <c r="M200" t="s">
        <v>114</v>
      </c>
      <c r="N200" t="s">
        <v>115</v>
      </c>
      <c r="O200" t="s">
        <v>398</v>
      </c>
      <c r="P200" t="s">
        <v>198</v>
      </c>
      <c r="Q200" t="s">
        <v>42</v>
      </c>
      <c r="R200" t="s">
        <v>43</v>
      </c>
      <c r="S200" t="s">
        <v>44</v>
      </c>
      <c r="T200" t="s">
        <v>451</v>
      </c>
      <c r="U200" t="s">
        <v>200</v>
      </c>
      <c r="V200" s="2">
        <v>45735</v>
      </c>
      <c r="W200" t="s">
        <v>48</v>
      </c>
      <c r="X200" t="s">
        <v>49</v>
      </c>
      <c r="Y200" t="s">
        <v>82</v>
      </c>
      <c r="Z200" t="s">
        <v>51</v>
      </c>
      <c r="AA200" t="s">
        <v>52</v>
      </c>
      <c r="AB200" cm="1">
        <f t="array" ref="AB200">IF(OR(COUNTIF(K200, "*FAC.C*")&gt;0, COUNTIF(J200, "*チャージ*")&gt;0, COUNTIF(J200, "*ギフト*")&gt;0), IFERROR(_xlfn.XLOOKUP(B200, $B$1:B199, $AB$1:AB199, 0, 0, -1), 0), IFERROR(ROUND(_xlfn.XLOOKUP(B200, $B$1:B199, $AB$1:AB199, 0, 0, -1) * 0.9 + P200 * 0.1, 0), ""))</f>
        <v>5410</v>
      </c>
      <c r="AC200" t="s">
        <v>1042</v>
      </c>
    </row>
    <row r="201" spans="1:29" x14ac:dyDescent="0.2">
      <c r="A201" t="s">
        <v>373</v>
      </c>
      <c r="B201" t="s">
        <v>729</v>
      </c>
      <c r="C201" t="s">
        <v>29</v>
      </c>
      <c r="D201" t="s">
        <v>375</v>
      </c>
      <c r="E201" t="s">
        <v>193</v>
      </c>
      <c r="F201" t="s">
        <v>90</v>
      </c>
      <c r="G201" t="s">
        <v>761</v>
      </c>
      <c r="H201" t="s">
        <v>34</v>
      </c>
      <c r="I201" s="2">
        <v>46132</v>
      </c>
      <c r="J201" t="s">
        <v>664</v>
      </c>
      <c r="K201" t="s">
        <v>863</v>
      </c>
      <c r="L201" t="s">
        <v>137</v>
      </c>
      <c r="M201" t="s">
        <v>1010</v>
      </c>
      <c r="N201" t="s">
        <v>1011</v>
      </c>
      <c r="O201" t="s">
        <v>1012</v>
      </c>
      <c r="P201">
        <v>10000</v>
      </c>
      <c r="Q201" t="s">
        <v>42</v>
      </c>
      <c r="R201" t="s">
        <v>43</v>
      </c>
      <c r="S201" t="s">
        <v>44</v>
      </c>
      <c r="T201" t="s">
        <v>379</v>
      </c>
      <c r="U201" t="s">
        <v>221</v>
      </c>
      <c r="V201" s="2">
        <v>45407</v>
      </c>
      <c r="W201" t="s">
        <v>48</v>
      </c>
      <c r="X201" t="s">
        <v>49</v>
      </c>
      <c r="Y201" t="s">
        <v>142</v>
      </c>
      <c r="Z201" t="s">
        <v>83</v>
      </c>
      <c r="AA201" t="s">
        <v>84</v>
      </c>
      <c r="AB201" cm="1">
        <f t="array" ref="AB201">IF(OR(COUNTIF(K201, "*FAC.C*")&gt;0, COUNTIF(J201, "*チャージ*")&gt;0, COUNTIF(J201, "*ギフト*")&gt;0), IFERROR(_xlfn.XLOOKUP(B201, $B$1:B200, $AB$1:AB200, 0, 0, -1), 0), IFERROR(ROUND(_xlfn.XLOOKUP(B201, $B$1:B200, $AB$1:AB200, 0, 0, -1) * 0.9 + P201 * 0.1, 0), ""))</f>
        <v>10000</v>
      </c>
      <c r="AC201" t="s">
        <v>85</v>
      </c>
    </row>
    <row r="202" spans="1:29" x14ac:dyDescent="0.2">
      <c r="A202" t="s">
        <v>298</v>
      </c>
      <c r="B202" t="s">
        <v>299</v>
      </c>
      <c r="C202" t="s">
        <v>29</v>
      </c>
      <c r="D202" t="s">
        <v>300</v>
      </c>
      <c r="E202" t="s">
        <v>89</v>
      </c>
      <c r="F202" t="s">
        <v>29</v>
      </c>
      <c r="G202" t="s">
        <v>764</v>
      </c>
      <c r="H202" t="s">
        <v>59</v>
      </c>
      <c r="I202" s="2">
        <v>46133</v>
      </c>
      <c r="J202" s="1">
        <v>0.50369212962962961</v>
      </c>
      <c r="K202" t="s">
        <v>865</v>
      </c>
      <c r="L202" t="s">
        <v>37</v>
      </c>
      <c r="M202" t="s">
        <v>138</v>
      </c>
      <c r="N202" t="s">
        <v>39</v>
      </c>
      <c r="O202" t="s">
        <v>504</v>
      </c>
      <c r="P202" t="s">
        <v>363</v>
      </c>
      <c r="Q202" t="s">
        <v>42</v>
      </c>
      <c r="R202" t="s">
        <v>43</v>
      </c>
      <c r="S202" t="s">
        <v>44</v>
      </c>
      <c r="T202" t="s">
        <v>305</v>
      </c>
      <c r="U202" t="s">
        <v>200</v>
      </c>
      <c r="V202" t="s">
        <v>167</v>
      </c>
      <c r="W202" t="s">
        <v>48</v>
      </c>
      <c r="X202" t="s">
        <v>49</v>
      </c>
      <c r="Y202" t="s">
        <v>69</v>
      </c>
      <c r="Z202" t="s">
        <v>83</v>
      </c>
      <c r="AA202" t="s">
        <v>84</v>
      </c>
      <c r="AB202" cm="1">
        <f t="array" ref="AB202">IF(OR(COUNTIF(K202, "*FAC.C*")&gt;0, COUNTIF(J202, "*チャージ*")&gt;0, COUNTIF(J202, "*ギフト*")&gt;0), IFERROR(_xlfn.XLOOKUP(B202, $B$1:B201, $AB$1:AB201, 0, 0, -1), 0), IFERROR(ROUND(_xlfn.XLOOKUP(B202, $B$1:B201, $AB$1:AB201, 0, 0, -1) * 0.9 + P202 * 0.1, 0), ""))</f>
        <v>4391</v>
      </c>
      <c r="AC202" t="s">
        <v>53</v>
      </c>
    </row>
    <row r="203" spans="1:29" x14ac:dyDescent="0.2">
      <c r="A203" t="s">
        <v>654</v>
      </c>
      <c r="B203" t="s">
        <v>655</v>
      </c>
      <c r="C203" t="s">
        <v>29</v>
      </c>
      <c r="D203" t="s">
        <v>656</v>
      </c>
      <c r="E203" t="s">
        <v>147</v>
      </c>
      <c r="F203" t="s">
        <v>145</v>
      </c>
      <c r="G203" t="s">
        <v>766</v>
      </c>
      <c r="H203" t="s">
        <v>77</v>
      </c>
      <c r="I203" s="2">
        <v>46133</v>
      </c>
      <c r="J203" t="s">
        <v>674</v>
      </c>
      <c r="K203" t="s">
        <v>866</v>
      </c>
      <c r="L203" t="s">
        <v>62</v>
      </c>
      <c r="M203" t="s">
        <v>434</v>
      </c>
      <c r="N203" t="s">
        <v>115</v>
      </c>
      <c r="O203" t="s">
        <v>867</v>
      </c>
      <c r="P203" t="s">
        <v>198</v>
      </c>
      <c r="Q203" t="s">
        <v>42</v>
      </c>
      <c r="R203" t="s">
        <v>43</v>
      </c>
      <c r="S203" t="s">
        <v>44</v>
      </c>
      <c r="T203" t="s">
        <v>660</v>
      </c>
      <c r="U203" t="s">
        <v>221</v>
      </c>
      <c r="V203" t="s">
        <v>852</v>
      </c>
      <c r="W203" t="s">
        <v>48</v>
      </c>
      <c r="X203" t="s">
        <v>49</v>
      </c>
      <c r="Y203" t="s">
        <v>69</v>
      </c>
      <c r="Z203" t="s">
        <v>83</v>
      </c>
      <c r="AA203" t="s">
        <v>84</v>
      </c>
      <c r="AB203" cm="1">
        <f t="array" ref="AB203">IF(OR(COUNTIF(K203, "*FAC.C*")&gt;0, COUNTIF(J203, "*チャージ*")&gt;0, COUNTIF(J203, "*ギフト*")&gt;0), IFERROR(_xlfn.XLOOKUP(B203, $B$1:B202, $AB$1:AB202, 0, 0, -1), 0), IFERROR(ROUND(_xlfn.XLOOKUP(B203, $B$1:B202, $AB$1:AB202, 0, 0, -1) * 0.9 + P203 * 0.1, 0), ""))</f>
        <v>2725</v>
      </c>
      <c r="AC203" t="s">
        <v>85</v>
      </c>
    </row>
    <row r="204" spans="1:29" x14ac:dyDescent="0.2">
      <c r="A204" t="s">
        <v>654</v>
      </c>
      <c r="B204" t="s">
        <v>655</v>
      </c>
      <c r="C204" t="s">
        <v>29</v>
      </c>
      <c r="D204" t="s">
        <v>656</v>
      </c>
      <c r="E204" t="s">
        <v>147</v>
      </c>
      <c r="F204" t="s">
        <v>145</v>
      </c>
      <c r="G204" t="s">
        <v>768</v>
      </c>
      <c r="H204" t="s">
        <v>77</v>
      </c>
      <c r="I204" s="2">
        <v>46133</v>
      </c>
      <c r="J204" t="s">
        <v>678</v>
      </c>
      <c r="K204" t="s">
        <v>868</v>
      </c>
      <c r="L204" t="s">
        <v>113</v>
      </c>
      <c r="M204" t="s">
        <v>518</v>
      </c>
      <c r="N204" t="s">
        <v>39</v>
      </c>
      <c r="O204" t="s">
        <v>684</v>
      </c>
      <c r="P204" t="s">
        <v>160</v>
      </c>
      <c r="Q204" t="s">
        <v>42</v>
      </c>
      <c r="R204" t="s">
        <v>43</v>
      </c>
      <c r="S204" t="s">
        <v>44</v>
      </c>
      <c r="T204" t="s">
        <v>660</v>
      </c>
      <c r="U204" t="s">
        <v>46</v>
      </c>
      <c r="V204" t="s">
        <v>852</v>
      </c>
      <c r="W204" t="s">
        <v>48</v>
      </c>
      <c r="X204" t="s">
        <v>49</v>
      </c>
      <c r="Y204" t="s">
        <v>69</v>
      </c>
      <c r="Z204" t="s">
        <v>83</v>
      </c>
      <c r="AA204" t="s">
        <v>84</v>
      </c>
      <c r="AB204" cm="1">
        <f t="array" ref="AB204">IF(OR(COUNTIF(K204, "*FAC.C*")&gt;0, COUNTIF(J204, "*チャージ*")&gt;0, COUNTIF(J204, "*ギフト*")&gt;0), IFERROR(_xlfn.XLOOKUP(B204, $B$1:B203, $AB$1:AB203, 0, 0, -1), 0), IFERROR(ROUND(_xlfn.XLOOKUP(B204, $B$1:B203, $AB$1:AB203, 0, 0, -1) * 0.9 + P204 * 0.1, 0), ""))</f>
        <v>2653</v>
      </c>
      <c r="AC204" t="s">
        <v>85</v>
      </c>
    </row>
    <row r="205" spans="1:29" x14ac:dyDescent="0.2">
      <c r="A205" t="s">
        <v>452</v>
      </c>
      <c r="B205" t="s">
        <v>717</v>
      </c>
      <c r="C205" t="s">
        <v>32</v>
      </c>
      <c r="D205" t="s">
        <v>454</v>
      </c>
      <c r="E205" t="s">
        <v>455</v>
      </c>
      <c r="F205" t="s">
        <v>145</v>
      </c>
      <c r="G205" t="s">
        <v>718</v>
      </c>
      <c r="H205" t="s">
        <v>34</v>
      </c>
      <c r="I205" s="2">
        <v>46133</v>
      </c>
      <c r="J205" t="s">
        <v>682</v>
      </c>
      <c r="K205" t="s">
        <v>869</v>
      </c>
      <c r="L205" t="s">
        <v>1120</v>
      </c>
      <c r="M205" t="s">
        <v>1078</v>
      </c>
      <c r="N205" t="s">
        <v>1072</v>
      </c>
      <c r="O205" t="s">
        <v>1181</v>
      </c>
      <c r="P205">
        <v>160</v>
      </c>
      <c r="Q205" t="s">
        <v>42</v>
      </c>
      <c r="R205" t="s">
        <v>43</v>
      </c>
      <c r="S205" t="s">
        <v>44</v>
      </c>
      <c r="T205" t="s">
        <v>460</v>
      </c>
      <c r="U205" t="s">
        <v>46</v>
      </c>
      <c r="V205" s="2">
        <v>44052</v>
      </c>
      <c r="W205" t="s">
        <v>48</v>
      </c>
      <c r="X205" t="s">
        <v>49</v>
      </c>
      <c r="Y205" t="s">
        <v>82</v>
      </c>
      <c r="Z205">
        <v>16</v>
      </c>
      <c r="AA205" t="s">
        <v>128</v>
      </c>
      <c r="AB205" cm="1">
        <f t="array" ref="AB205">IF(OR(COUNTIF(K205, "*FAC.C*")&gt;0, COUNTIF(J205, "*チャージ*")&gt;0, COUNTIF(J205, "*ギフト*")&gt;0), IFERROR(_xlfn.XLOOKUP(B205, $B$1:B204, $AB$1:AB204, 0, 0, -1), 0), IFERROR(ROUND(_xlfn.XLOOKUP(B205, $B$1:B204, $AB$1:AB204, 0, 0, -1) * 0.9 + P205 * 0.1, 0), ""))</f>
        <v>160</v>
      </c>
      <c r="AC205" t="s">
        <v>1075</v>
      </c>
    </row>
    <row r="206" spans="1:29" x14ac:dyDescent="0.2">
      <c r="A206" t="s">
        <v>438</v>
      </c>
      <c r="B206" t="s">
        <v>439</v>
      </c>
      <c r="C206" t="s">
        <v>32</v>
      </c>
      <c r="D206" t="s">
        <v>440</v>
      </c>
      <c r="E206" t="s">
        <v>175</v>
      </c>
      <c r="F206" t="s">
        <v>90</v>
      </c>
      <c r="G206" t="s">
        <v>441</v>
      </c>
      <c r="H206" t="s">
        <v>59</v>
      </c>
      <c r="I206" s="2">
        <v>46133</v>
      </c>
      <c r="J206" t="s">
        <v>687</v>
      </c>
      <c r="K206" t="s">
        <v>870</v>
      </c>
      <c r="L206" t="s">
        <v>125</v>
      </c>
      <c r="M206" t="s">
        <v>1074</v>
      </c>
      <c r="N206" t="s">
        <v>115</v>
      </c>
      <c r="O206" t="s">
        <v>564</v>
      </c>
      <c r="P206" t="s">
        <v>41</v>
      </c>
      <c r="Q206" t="s">
        <v>42</v>
      </c>
      <c r="R206" t="s">
        <v>43</v>
      </c>
      <c r="S206" t="s">
        <v>44</v>
      </c>
      <c r="T206" t="s">
        <v>444</v>
      </c>
      <c r="U206" t="s">
        <v>97</v>
      </c>
      <c r="V206" s="2">
        <v>45848</v>
      </c>
      <c r="W206" t="s">
        <v>48</v>
      </c>
      <c r="X206" t="s">
        <v>49</v>
      </c>
      <c r="Y206" t="s">
        <v>82</v>
      </c>
      <c r="Z206">
        <v>14</v>
      </c>
      <c r="AA206" t="s">
        <v>107</v>
      </c>
      <c r="AB206" cm="1">
        <f t="array" ref="AB206">IF(OR(COUNTIF(K206, "*FAC.C*")&gt;0, COUNTIF(J206, "*チャージ*")&gt;0, COUNTIF(J206, "*ギフト*")&gt;0), IFERROR(_xlfn.XLOOKUP(B206, $B$1:B205, $AB$1:AB205, 0, 0, -1), 0), IFERROR(ROUND(_xlfn.XLOOKUP(B206, $B$1:B205, $AB$1:AB205, 0, 0, -1) * 0.9 + P206 * 0.1, 0), ""))</f>
        <v>2792</v>
      </c>
      <c r="AC206" t="s">
        <v>85</v>
      </c>
    </row>
    <row r="207" spans="1:29" x14ac:dyDescent="0.2">
      <c r="A207" t="s">
        <v>245</v>
      </c>
      <c r="B207" t="s">
        <v>246</v>
      </c>
      <c r="C207" t="s">
        <v>145</v>
      </c>
      <c r="D207" t="s">
        <v>100</v>
      </c>
      <c r="E207" t="s">
        <v>247</v>
      </c>
      <c r="F207" t="s">
        <v>32</v>
      </c>
      <c r="G207" t="s">
        <v>772</v>
      </c>
      <c r="H207" t="s">
        <v>134</v>
      </c>
      <c r="I207" s="2">
        <v>46133</v>
      </c>
      <c r="J207" s="1">
        <v>0.83037037037037043</v>
      </c>
      <c r="K207" t="s">
        <v>871</v>
      </c>
      <c r="L207" t="s">
        <v>137</v>
      </c>
      <c r="M207" t="s">
        <v>38</v>
      </c>
      <c r="N207" t="s">
        <v>1072</v>
      </c>
      <c r="O207" t="s">
        <v>1177</v>
      </c>
      <c r="P207">
        <v>1000</v>
      </c>
      <c r="Q207" t="s">
        <v>42</v>
      </c>
      <c r="R207" t="s">
        <v>43</v>
      </c>
      <c r="S207" t="s">
        <v>44</v>
      </c>
      <c r="T207" t="s">
        <v>1178</v>
      </c>
      <c r="U207" t="s">
        <v>200</v>
      </c>
      <c r="V207" s="2">
        <v>45870</v>
      </c>
      <c r="W207" t="s">
        <v>48</v>
      </c>
      <c r="X207" t="s">
        <v>49</v>
      </c>
      <c r="Y207">
        <v>541011</v>
      </c>
      <c r="Z207">
        <v>16</v>
      </c>
      <c r="AA207" t="s">
        <v>1154</v>
      </c>
      <c r="AB207" cm="1">
        <f t="array" ref="AB207">IF(OR(COUNTIF(K207, "*FAC.C*")&gt;0, COUNTIF(J207, "*チャージ*")&gt;0, COUNTIF(J207, "*ギフト*")&gt;0), IFERROR(_xlfn.XLOOKUP(B207, $B$1:B206, $AB$1:AB206, 0, 0, -1), 0), IFERROR(ROUND(_xlfn.XLOOKUP(B207, $B$1:B206, $AB$1:AB206, 0, 0, -1) * 0.9 + P207 * 0.1, 0), ""))</f>
        <v>390</v>
      </c>
      <c r="AC207" t="s">
        <v>53</v>
      </c>
    </row>
    <row r="208" spans="1:29" x14ac:dyDescent="0.2">
      <c r="A208" t="s">
        <v>98</v>
      </c>
      <c r="B208" t="s">
        <v>99</v>
      </c>
      <c r="C208" t="s">
        <v>29</v>
      </c>
      <c r="D208" t="s">
        <v>100</v>
      </c>
      <c r="E208" t="s">
        <v>101</v>
      </c>
      <c r="F208" t="s">
        <v>90</v>
      </c>
      <c r="G208" s="4">
        <v>937973902378043</v>
      </c>
      <c r="H208" t="s">
        <v>34</v>
      </c>
      <c r="I208" s="2">
        <v>46133</v>
      </c>
      <c r="J208" t="s">
        <v>693</v>
      </c>
      <c r="K208" t="s">
        <v>872</v>
      </c>
      <c r="L208" t="s">
        <v>113</v>
      </c>
      <c r="M208" t="s">
        <v>1060</v>
      </c>
      <c r="N208" t="s">
        <v>1034</v>
      </c>
      <c r="O208" t="s">
        <v>1061</v>
      </c>
      <c r="P208">
        <v>10000</v>
      </c>
      <c r="Q208" t="s">
        <v>42</v>
      </c>
      <c r="R208" t="s">
        <v>43</v>
      </c>
      <c r="S208" t="s">
        <v>44</v>
      </c>
      <c r="T208" t="s">
        <v>106</v>
      </c>
      <c r="U208" t="s">
        <v>200</v>
      </c>
      <c r="V208" s="2">
        <v>44633</v>
      </c>
      <c r="W208" t="s">
        <v>48</v>
      </c>
      <c r="X208" t="s">
        <v>49</v>
      </c>
      <c r="Z208">
        <v>14</v>
      </c>
      <c r="AA208" t="s">
        <v>1065</v>
      </c>
      <c r="AB208" cm="1">
        <f t="array" ref="AB208">IF(OR(COUNTIF(K208, "*FAC.C*")&gt;0, COUNTIF(J208, "*チャージ*")&gt;0, COUNTIF(J208, "*ギフト*")&gt;0), IFERROR(_xlfn.XLOOKUP(B208, $B$1:B207, $AB$1:AB207, 0, 0, -1), 0), IFERROR(ROUND(_xlfn.XLOOKUP(B208, $B$1:B207, $AB$1:AB207, 0, 0, -1) * 0.9 + P208 * 0.1, 0), ""))</f>
        <v>17828</v>
      </c>
      <c r="AC208" t="s">
        <v>1045</v>
      </c>
    </row>
    <row r="209" spans="1:29" x14ac:dyDescent="0.2">
      <c r="A209" t="s">
        <v>408</v>
      </c>
      <c r="B209" t="s">
        <v>747</v>
      </c>
      <c r="C209">
        <v>3</v>
      </c>
      <c r="D209" t="s">
        <v>203</v>
      </c>
      <c r="E209">
        <v>40</v>
      </c>
      <c r="F209" t="s">
        <v>145</v>
      </c>
      <c r="G209">
        <v>388360722596965</v>
      </c>
      <c r="H209" t="s">
        <v>134</v>
      </c>
      <c r="I209" s="2">
        <v>46133</v>
      </c>
      <c r="J209" t="s">
        <v>449</v>
      </c>
      <c r="K209" t="s">
        <v>873</v>
      </c>
      <c r="L209" t="s">
        <v>62</v>
      </c>
      <c r="M209" t="s">
        <v>1081</v>
      </c>
      <c r="N209" t="s">
        <v>115</v>
      </c>
      <c r="O209" t="s">
        <v>1172</v>
      </c>
      <c r="P209">
        <v>610</v>
      </c>
      <c r="Q209" t="s">
        <v>42</v>
      </c>
      <c r="R209" t="s">
        <v>43</v>
      </c>
      <c r="S209" t="s">
        <v>44</v>
      </c>
      <c r="T209" t="s">
        <v>210</v>
      </c>
      <c r="U209" t="s">
        <v>97</v>
      </c>
      <c r="V209" s="2">
        <v>45270</v>
      </c>
      <c r="W209" t="s">
        <v>48</v>
      </c>
      <c r="X209" t="s">
        <v>49</v>
      </c>
      <c r="Y209" t="s">
        <v>69</v>
      </c>
      <c r="Z209">
        <v>16</v>
      </c>
      <c r="AA209" t="s">
        <v>1171</v>
      </c>
      <c r="AB209" cm="1">
        <f t="array" ref="AB209">IF(OR(COUNTIF(K209, "*FAC.C*")&gt;0, COUNTIF(J209, "*チャージ*")&gt;0, COUNTIF(J209, "*ギフト*")&gt;0), IFERROR(_xlfn.XLOOKUP(B209, $B$1:B208, $AB$1:AB208, 0, 0, -1), 0), IFERROR(ROUND(_xlfn.XLOOKUP(B209, $B$1:B208, $AB$1:AB208, 0, 0, -1) * 0.9 + P209 * 0.1, 0), ""))</f>
        <v>610</v>
      </c>
      <c r="AC209" t="s">
        <v>1075</v>
      </c>
    </row>
    <row r="210" spans="1:29" x14ac:dyDescent="0.2">
      <c r="A210" t="s">
        <v>602</v>
      </c>
      <c r="B210" t="s">
        <v>742</v>
      </c>
      <c r="C210">
        <v>2</v>
      </c>
      <c r="D210" t="s">
        <v>604</v>
      </c>
      <c r="E210" t="s">
        <v>204</v>
      </c>
      <c r="F210">
        <v>1</v>
      </c>
      <c r="G210" t="s">
        <v>605</v>
      </c>
      <c r="H210" t="s">
        <v>59</v>
      </c>
      <c r="I210" s="2">
        <v>46133</v>
      </c>
      <c r="J210" t="s">
        <v>701</v>
      </c>
      <c r="K210" t="s">
        <v>874</v>
      </c>
      <c r="L210" t="s">
        <v>1079</v>
      </c>
      <c r="M210" t="s">
        <v>1037</v>
      </c>
      <c r="N210" t="s">
        <v>1041</v>
      </c>
      <c r="O210" t="s">
        <v>1038</v>
      </c>
      <c r="P210">
        <v>22800</v>
      </c>
      <c r="Q210" t="s">
        <v>42</v>
      </c>
      <c r="R210" t="s">
        <v>43</v>
      </c>
      <c r="S210" t="s">
        <v>44</v>
      </c>
      <c r="T210" t="s">
        <v>609</v>
      </c>
      <c r="U210" t="s">
        <v>46</v>
      </c>
      <c r="V210" s="2">
        <v>46113</v>
      </c>
      <c r="W210" t="s">
        <v>48</v>
      </c>
      <c r="X210" t="s">
        <v>49</v>
      </c>
      <c r="Z210">
        <v>16</v>
      </c>
      <c r="AA210" t="s">
        <v>1154</v>
      </c>
      <c r="AB210" cm="1">
        <f t="array" ref="AB210">IF(OR(COUNTIF(K210, "*FAC.C*")&gt;0, COUNTIF(J210, "*チャージ*")&gt;0, COUNTIF(J210, "*ギフト*")&gt;0), IFERROR(_xlfn.XLOOKUP(B210, $B$1:B209, $AB$1:AB209, 0, 0, -1), 0), IFERROR(ROUND(_xlfn.XLOOKUP(B210, $B$1:B209, $AB$1:AB209, 0, 0, -1) * 0.9 + P210 * 0.1, 0), ""))</f>
        <v>3522</v>
      </c>
      <c r="AC210" t="s">
        <v>53</v>
      </c>
    </row>
    <row r="211" spans="1:29" x14ac:dyDescent="0.2">
      <c r="A211" t="s">
        <v>461</v>
      </c>
      <c r="B211" t="s">
        <v>462</v>
      </c>
      <c r="C211" t="s">
        <v>173</v>
      </c>
      <c r="D211" t="s">
        <v>463</v>
      </c>
      <c r="E211" t="s">
        <v>31</v>
      </c>
      <c r="F211">
        <v>2</v>
      </c>
      <c r="G211" t="s">
        <v>777</v>
      </c>
      <c r="H211" t="s">
        <v>77</v>
      </c>
      <c r="I211" s="2">
        <v>46133</v>
      </c>
      <c r="J211" t="s">
        <v>704</v>
      </c>
      <c r="K211" t="s">
        <v>875</v>
      </c>
      <c r="L211" t="s">
        <v>80</v>
      </c>
      <c r="M211" t="s">
        <v>217</v>
      </c>
      <c r="N211" t="s">
        <v>1072</v>
      </c>
      <c r="O211" t="s">
        <v>218</v>
      </c>
      <c r="P211" t="s">
        <v>219</v>
      </c>
      <c r="Q211" t="s">
        <v>42</v>
      </c>
      <c r="R211" t="s">
        <v>43</v>
      </c>
      <c r="S211" t="s">
        <v>44</v>
      </c>
      <c r="T211" t="s">
        <v>467</v>
      </c>
      <c r="U211" t="s">
        <v>46</v>
      </c>
      <c r="V211" s="2">
        <v>44922</v>
      </c>
      <c r="W211" t="s">
        <v>48</v>
      </c>
      <c r="X211" t="s">
        <v>49</v>
      </c>
      <c r="Z211">
        <v>14</v>
      </c>
      <c r="AA211" t="s">
        <v>1086</v>
      </c>
      <c r="AB211" cm="1">
        <f t="array" ref="AB211">IF(OR(COUNTIF(K211, "*FAC.C*")&gt;0, COUNTIF(J211, "*チャージ*")&gt;0, COUNTIF(J211, "*ギフト*")&gt;0), IFERROR(_xlfn.XLOOKUP(B211, $B$1:B210, $AB$1:AB210, 0, 0, -1), 0), IFERROR(ROUND(_xlfn.XLOOKUP(B211, $B$1:B210, $AB$1:AB210, 0, 0, -1) * 0.9 + P211 * 0.1, 0), ""))</f>
        <v>1310</v>
      </c>
      <c r="AC211" t="s">
        <v>53</v>
      </c>
    </row>
    <row r="212" spans="1:29" x14ac:dyDescent="0.2">
      <c r="A212" t="s">
        <v>400</v>
      </c>
      <c r="B212" t="s">
        <v>401</v>
      </c>
      <c r="C212" t="s">
        <v>32</v>
      </c>
      <c r="D212" t="s">
        <v>402</v>
      </c>
      <c r="E212" t="s">
        <v>403</v>
      </c>
      <c r="F212" t="s">
        <v>32</v>
      </c>
      <c r="G212" t="s">
        <v>404</v>
      </c>
      <c r="H212" t="s">
        <v>59</v>
      </c>
      <c r="I212" s="2">
        <v>46134</v>
      </c>
      <c r="J212" s="1">
        <v>0.84734953703703708</v>
      </c>
      <c r="K212" t="s">
        <v>877</v>
      </c>
      <c r="L212" t="s">
        <v>113</v>
      </c>
      <c r="M212" t="s">
        <v>1105</v>
      </c>
      <c r="N212" t="s">
        <v>1106</v>
      </c>
      <c r="O212" t="s">
        <v>1107</v>
      </c>
      <c r="P212">
        <v>7500</v>
      </c>
      <c r="Q212" t="s">
        <v>42</v>
      </c>
      <c r="R212" t="s">
        <v>43</v>
      </c>
      <c r="S212" t="s">
        <v>44</v>
      </c>
      <c r="T212" t="s">
        <v>407</v>
      </c>
      <c r="U212" t="s">
        <v>68</v>
      </c>
      <c r="V212" t="s">
        <v>864</v>
      </c>
      <c r="W212" t="s">
        <v>48</v>
      </c>
      <c r="X212" t="s">
        <v>49</v>
      </c>
      <c r="Z212">
        <v>16</v>
      </c>
      <c r="AA212" t="s">
        <v>1109</v>
      </c>
      <c r="AB212">
        <v>5041</v>
      </c>
      <c r="AC212" t="s">
        <v>53</v>
      </c>
    </row>
    <row r="213" spans="1:29" x14ac:dyDescent="0.2">
      <c r="A213" t="s">
        <v>559</v>
      </c>
      <c r="B213" t="s">
        <v>735</v>
      </c>
      <c r="C213" t="s">
        <v>29</v>
      </c>
      <c r="D213" t="s">
        <v>203</v>
      </c>
      <c r="E213" t="s">
        <v>204</v>
      </c>
      <c r="F213" t="s">
        <v>145</v>
      </c>
      <c r="G213" s="3">
        <v>857649899854581</v>
      </c>
      <c r="H213" t="s">
        <v>77</v>
      </c>
      <c r="I213" s="2">
        <v>46125</v>
      </c>
      <c r="J213" s="1">
        <v>0.87153935185185183</v>
      </c>
      <c r="K213" t="s">
        <v>878</v>
      </c>
      <c r="L213" t="s">
        <v>1079</v>
      </c>
      <c r="M213" t="s">
        <v>1127</v>
      </c>
      <c r="N213" t="s">
        <v>1072</v>
      </c>
      <c r="O213" t="s">
        <v>1134</v>
      </c>
      <c r="P213">
        <v>480</v>
      </c>
      <c r="Q213" t="s">
        <v>42</v>
      </c>
      <c r="R213" t="s">
        <v>43</v>
      </c>
      <c r="S213" t="s">
        <v>44</v>
      </c>
      <c r="T213" t="s">
        <v>210</v>
      </c>
      <c r="U213" t="s">
        <v>221</v>
      </c>
      <c r="V213" s="2">
        <v>42663</v>
      </c>
      <c r="W213" t="s">
        <v>48</v>
      </c>
      <c r="X213" t="s">
        <v>49</v>
      </c>
      <c r="Z213">
        <v>16</v>
      </c>
      <c r="AA213" t="s">
        <v>84</v>
      </c>
      <c r="AB213" cm="1">
        <f t="array" ref="AB213">IF(OR(COUNTIF(K213, "*FAC.C*")&gt;0, COUNTIF(J213, "*チャージ*")&gt;0, COUNTIF(J213, "*ギフト*")&gt;0), IFERROR(_xlfn.XLOOKUP(B213, $B$1:B212, $AB$1:AB212, 0, 0, -1), 0), IFERROR(ROUND(_xlfn.XLOOKUP(B213, $B$1:B212, $AB$1:AB212, 0, 0, -1) * 0.9 + P213 * 0.1, 0), ""))</f>
        <v>695</v>
      </c>
      <c r="AC213" t="s">
        <v>53</v>
      </c>
    </row>
    <row r="214" spans="1:29" x14ac:dyDescent="0.2">
      <c r="A214" t="s">
        <v>129</v>
      </c>
      <c r="B214" t="s">
        <v>726</v>
      </c>
      <c r="C214" t="s">
        <v>29</v>
      </c>
      <c r="D214" t="s">
        <v>131</v>
      </c>
      <c r="E214" t="s">
        <v>132</v>
      </c>
      <c r="F214" t="s">
        <v>29</v>
      </c>
      <c r="G214" t="s">
        <v>782</v>
      </c>
      <c r="H214" t="s">
        <v>134</v>
      </c>
      <c r="I214" s="2">
        <v>46134</v>
      </c>
      <c r="J214" t="s">
        <v>556</v>
      </c>
      <c r="K214" t="s">
        <v>879</v>
      </c>
      <c r="L214" t="s">
        <v>125</v>
      </c>
      <c r="M214" t="s">
        <v>236</v>
      </c>
      <c r="N214" t="s">
        <v>115</v>
      </c>
      <c r="O214" t="s">
        <v>346</v>
      </c>
      <c r="P214" t="s">
        <v>117</v>
      </c>
      <c r="Q214" t="s">
        <v>42</v>
      </c>
      <c r="R214" t="s">
        <v>43</v>
      </c>
      <c r="S214" t="s">
        <v>44</v>
      </c>
      <c r="T214" t="s">
        <v>141</v>
      </c>
      <c r="U214" t="s">
        <v>46</v>
      </c>
      <c r="V214" t="s">
        <v>864</v>
      </c>
      <c r="W214" t="s">
        <v>48</v>
      </c>
      <c r="X214" t="s">
        <v>49</v>
      </c>
      <c r="Y214" t="s">
        <v>82</v>
      </c>
      <c r="Z214" t="s">
        <v>51</v>
      </c>
      <c r="AA214" t="s">
        <v>52</v>
      </c>
      <c r="AB214" cm="1">
        <f t="array" ref="AB214">IF(OR(COUNTIF(K214, "*FAC.C*")&gt;0, COUNTIF(J214, "*チャージ*")&gt;0, COUNTIF(J214, "*ギフト*")&gt;0), IFERROR(_xlfn.XLOOKUP(B214, $B$1:B213, $AB$1:AB213, 0, 0, -1), 0), IFERROR(ROUND(_xlfn.XLOOKUP(B214, $B$1:B213, $AB$1:AB213, 0, 0, -1) * 0.9 + P214 * 0.1, 0), ""))</f>
        <v>3922</v>
      </c>
      <c r="AC214" t="s">
        <v>53</v>
      </c>
    </row>
    <row r="215" spans="1:29" x14ac:dyDescent="0.2">
      <c r="A215" t="s">
        <v>452</v>
      </c>
      <c r="B215" t="s">
        <v>453</v>
      </c>
      <c r="C215" t="s">
        <v>32</v>
      </c>
      <c r="D215" t="s">
        <v>454</v>
      </c>
      <c r="E215" t="s">
        <v>455</v>
      </c>
      <c r="F215" t="s">
        <v>145</v>
      </c>
      <c r="G215" t="s">
        <v>784</v>
      </c>
      <c r="H215" t="s">
        <v>34</v>
      </c>
      <c r="I215" s="2">
        <v>46134</v>
      </c>
      <c r="J215" t="s">
        <v>562</v>
      </c>
      <c r="K215" t="s">
        <v>880</v>
      </c>
      <c r="L215" t="s">
        <v>137</v>
      </c>
      <c r="M215" t="s">
        <v>126</v>
      </c>
      <c r="N215" t="s">
        <v>115</v>
      </c>
      <c r="O215" t="s">
        <v>362</v>
      </c>
      <c r="P215" t="s">
        <v>363</v>
      </c>
      <c r="Q215" t="s">
        <v>42</v>
      </c>
      <c r="R215" t="s">
        <v>43</v>
      </c>
      <c r="S215" t="s">
        <v>44</v>
      </c>
      <c r="T215" t="s">
        <v>460</v>
      </c>
      <c r="U215" t="s">
        <v>68</v>
      </c>
      <c r="V215" t="s">
        <v>864</v>
      </c>
      <c r="W215" t="s">
        <v>48</v>
      </c>
      <c r="X215" t="s">
        <v>49</v>
      </c>
      <c r="Y215" t="s">
        <v>142</v>
      </c>
      <c r="Z215" t="s">
        <v>70</v>
      </c>
      <c r="AA215" t="s">
        <v>128</v>
      </c>
      <c r="AB215" cm="1">
        <f t="array" ref="AB215">IF(OR(COUNTIF(K215, "*FAC.C*")&gt;0, COUNTIF(J215, "*チャージ*")&gt;0, COUNTIF(J215, "*ギフト*")&gt;0), IFERROR(_xlfn.XLOOKUP(B215, $B$1:B214, $AB$1:AB214, 0, 0, -1), 0), IFERROR(ROUND(_xlfn.XLOOKUP(B215, $B$1:B214, $AB$1:AB214, 0, 0, -1) * 0.9 + P215 * 0.1, 0), ""))</f>
        <v>5730</v>
      </c>
      <c r="AC215" t="s">
        <v>85</v>
      </c>
    </row>
    <row r="216" spans="1:29" x14ac:dyDescent="0.2">
      <c r="A216" t="s">
        <v>267</v>
      </c>
      <c r="B216" t="s">
        <v>268</v>
      </c>
      <c r="C216" t="s">
        <v>32</v>
      </c>
      <c r="D216" t="s">
        <v>88</v>
      </c>
      <c r="E216" t="s">
        <v>154</v>
      </c>
      <c r="F216" t="s">
        <v>29</v>
      </c>
      <c r="G216" t="s">
        <v>269</v>
      </c>
      <c r="H216" t="s">
        <v>34</v>
      </c>
      <c r="I216" s="2">
        <v>46134</v>
      </c>
      <c r="J216" t="s">
        <v>568</v>
      </c>
      <c r="K216" t="s">
        <v>881</v>
      </c>
      <c r="L216" t="s">
        <v>37</v>
      </c>
      <c r="M216" t="s">
        <v>63</v>
      </c>
      <c r="N216" t="s">
        <v>64</v>
      </c>
      <c r="O216" t="s">
        <v>197</v>
      </c>
      <c r="P216" t="s">
        <v>198</v>
      </c>
      <c r="Q216" t="s">
        <v>42</v>
      </c>
      <c r="R216" t="s">
        <v>43</v>
      </c>
      <c r="S216" t="s">
        <v>44</v>
      </c>
      <c r="T216" t="s">
        <v>96</v>
      </c>
      <c r="U216" t="s">
        <v>97</v>
      </c>
      <c r="V216" t="s">
        <v>864</v>
      </c>
      <c r="W216" t="s">
        <v>48</v>
      </c>
      <c r="X216" t="s">
        <v>49</v>
      </c>
      <c r="Y216" t="s">
        <v>50</v>
      </c>
      <c r="Z216" t="s">
        <v>51</v>
      </c>
      <c r="AA216" t="s">
        <v>107</v>
      </c>
      <c r="AB216" cm="1">
        <f t="array" ref="AB216">IF(OR(COUNTIF(K216, "*FAC.C*")&gt;0, COUNTIF(J216, "*チャージ*")&gt;0, COUNTIF(J216, "*ギフト*")&gt;0), IFERROR(_xlfn.XLOOKUP(B216, $B$1:B215, $AB$1:AB215, 0, 0, -1), 0), IFERROR(ROUND(_xlfn.XLOOKUP(B216, $B$1:B215, $AB$1:AB215, 0, 0, -1) * 0.9 + P216 * 0.1, 0), ""))</f>
        <v>4908</v>
      </c>
      <c r="AC216" t="s">
        <v>85</v>
      </c>
    </row>
    <row r="217" spans="1:29" x14ac:dyDescent="0.2">
      <c r="A217" t="s">
        <v>274</v>
      </c>
      <c r="B217" t="s">
        <v>275</v>
      </c>
      <c r="C217" t="s">
        <v>173</v>
      </c>
      <c r="D217" t="s">
        <v>276</v>
      </c>
      <c r="E217" t="s">
        <v>89</v>
      </c>
      <c r="F217" t="s">
        <v>173</v>
      </c>
      <c r="G217" t="s">
        <v>277</v>
      </c>
      <c r="H217" t="s">
        <v>134</v>
      </c>
      <c r="I217" s="2">
        <v>46134</v>
      </c>
      <c r="J217" s="1">
        <v>0.52342592592592596</v>
      </c>
      <c r="K217" t="s">
        <v>882</v>
      </c>
      <c r="L217" t="s">
        <v>113</v>
      </c>
      <c r="M217" t="s">
        <v>1036</v>
      </c>
      <c r="N217" t="s">
        <v>1182</v>
      </c>
      <c r="O217" t="s">
        <v>1203</v>
      </c>
      <c r="P217">
        <v>320</v>
      </c>
      <c r="Q217" t="s">
        <v>279</v>
      </c>
      <c r="R217" t="s">
        <v>43</v>
      </c>
      <c r="S217" t="s">
        <v>44</v>
      </c>
      <c r="T217" t="s">
        <v>1206</v>
      </c>
      <c r="U217" t="s">
        <v>1207</v>
      </c>
      <c r="V217" s="2">
        <v>44138</v>
      </c>
      <c r="W217" t="s">
        <v>48</v>
      </c>
      <c r="X217">
        <v>1</v>
      </c>
      <c r="Z217" t="s">
        <v>70</v>
      </c>
      <c r="AA217" t="s">
        <v>128</v>
      </c>
      <c r="AB217" cm="1">
        <f t="array" ref="AB217">IF(OR(COUNTIF(K217, "*FAC.C*")&gt;0, COUNTIF(J217, "*チャージ*")&gt;0, COUNTIF(J217, "*ギフト*")&gt;0), IFERROR(_xlfn.XLOOKUP(B217, $B$1:B216, $AB$1:AB216, 0, 0, -1), 0), IFERROR(ROUND(_xlfn.XLOOKUP(B217, $B$1:B216, $AB$1:AB216, 0, 0, -1) * 0.9 + P217 * 0.1, 0), ""))</f>
        <v>541</v>
      </c>
      <c r="AC217" t="s">
        <v>1192</v>
      </c>
    </row>
    <row r="218" spans="1:29" x14ac:dyDescent="0.2">
      <c r="A218" t="s">
        <v>281</v>
      </c>
      <c r="B218" t="s">
        <v>282</v>
      </c>
      <c r="C218" t="s">
        <v>173</v>
      </c>
      <c r="D218" t="s">
        <v>283</v>
      </c>
      <c r="E218" t="s">
        <v>284</v>
      </c>
      <c r="F218" t="s">
        <v>145</v>
      </c>
      <c r="G218" s="3">
        <v>359150071234560</v>
      </c>
      <c r="H218" t="s">
        <v>59</v>
      </c>
      <c r="I218" s="2">
        <v>46134</v>
      </c>
      <c r="J218" t="s">
        <v>581</v>
      </c>
      <c r="K218" t="s">
        <v>883</v>
      </c>
      <c r="L218" t="s">
        <v>113</v>
      </c>
      <c r="M218" t="s">
        <v>114</v>
      </c>
      <c r="N218" t="s">
        <v>1025</v>
      </c>
      <c r="O218" t="s">
        <v>398</v>
      </c>
      <c r="P218" t="s">
        <v>198</v>
      </c>
      <c r="Q218" t="s">
        <v>42</v>
      </c>
      <c r="R218" t="s">
        <v>43</v>
      </c>
      <c r="S218" t="s">
        <v>44</v>
      </c>
      <c r="T218" t="s">
        <v>288</v>
      </c>
      <c r="U218" t="s">
        <v>97</v>
      </c>
      <c r="V218" s="2">
        <v>43860</v>
      </c>
      <c r="W218" t="s">
        <v>48</v>
      </c>
      <c r="X218" t="s">
        <v>49</v>
      </c>
      <c r="Z218" t="s">
        <v>70</v>
      </c>
      <c r="AA218" t="s">
        <v>1026</v>
      </c>
      <c r="AB218" cm="1">
        <f t="array" ref="AB218">IF(OR(COUNTIF(K218, "*FAC.C*")&gt;0, COUNTIF(J218, "*チャージ*")&gt;0, COUNTIF(J218, "*ギフト*")&gt;0), IFERROR(_xlfn.XLOOKUP(B218, $B$1:B217, $AB$1:AB217, 0, 0, -1), 0), IFERROR(ROUND(_xlfn.XLOOKUP(B218, $B$1:B217, $AB$1:AB217, 0, 0, -1) * 0.9 + P218 * 0.1, 0), ""))</f>
        <v>24490</v>
      </c>
      <c r="AC218" t="s">
        <v>53</v>
      </c>
    </row>
    <row r="219" spans="1:29" x14ac:dyDescent="0.2">
      <c r="A219" t="s">
        <v>289</v>
      </c>
      <c r="B219" t="s">
        <v>290</v>
      </c>
      <c r="C219" t="s">
        <v>145</v>
      </c>
      <c r="D219" t="s">
        <v>291</v>
      </c>
      <c r="E219" t="s">
        <v>292</v>
      </c>
      <c r="F219" t="s">
        <v>29</v>
      </c>
      <c r="G219" t="s">
        <v>293</v>
      </c>
      <c r="H219" t="s">
        <v>59</v>
      </c>
      <c r="I219" s="2">
        <v>46134</v>
      </c>
      <c r="J219" t="s">
        <v>590</v>
      </c>
      <c r="K219" t="s">
        <v>675</v>
      </c>
      <c r="L219" t="s">
        <v>1190</v>
      </c>
      <c r="M219" t="s">
        <v>38</v>
      </c>
      <c r="N219" t="s">
        <v>1182</v>
      </c>
      <c r="O219" t="s">
        <v>1191</v>
      </c>
      <c r="P219">
        <v>1000</v>
      </c>
      <c r="Q219" t="s">
        <v>42</v>
      </c>
      <c r="R219" t="s">
        <v>43</v>
      </c>
      <c r="S219" t="s">
        <v>44</v>
      </c>
      <c r="T219" t="s">
        <v>297</v>
      </c>
      <c r="U219" t="s">
        <v>1194</v>
      </c>
      <c r="V219" s="2">
        <v>41731</v>
      </c>
      <c r="W219" t="s">
        <v>48</v>
      </c>
      <c r="X219" t="s">
        <v>49</v>
      </c>
      <c r="Z219">
        <v>16</v>
      </c>
      <c r="AA219" t="s">
        <v>128</v>
      </c>
      <c r="AB219" cm="1">
        <f t="array" ref="AB219">IF(OR(COUNTIF(K219, "*FAC.C*")&gt;0, COUNTIF(J219, "*チャージ*")&gt;0, COUNTIF(J219, "*ギフト*")&gt;0), IFERROR(_xlfn.XLOOKUP(B219, $B$1:B218, $AB$1:AB218, 0, 0, -1), 0), IFERROR(ROUND(_xlfn.XLOOKUP(B219, $B$1:B218, $AB$1:AB218, 0, 0, -1) * 0.9 + P219 * 0.1, 0), ""))</f>
        <v>1000</v>
      </c>
      <c r="AC219" t="s">
        <v>53</v>
      </c>
    </row>
    <row r="220" spans="1:29" x14ac:dyDescent="0.2">
      <c r="A220" t="s">
        <v>298</v>
      </c>
      <c r="B220" t="s">
        <v>299</v>
      </c>
      <c r="C220" t="s">
        <v>29</v>
      </c>
      <c r="D220" t="s">
        <v>300</v>
      </c>
      <c r="E220" t="s">
        <v>89</v>
      </c>
      <c r="F220" t="s">
        <v>29</v>
      </c>
      <c r="G220" t="s">
        <v>301</v>
      </c>
      <c r="H220" t="s">
        <v>59</v>
      </c>
      <c r="I220" s="2">
        <v>46134</v>
      </c>
      <c r="J220" t="s">
        <v>595</v>
      </c>
      <c r="K220" t="s">
        <v>884</v>
      </c>
      <c r="L220" t="s">
        <v>125</v>
      </c>
      <c r="M220" t="s">
        <v>93</v>
      </c>
      <c r="N220" t="s">
        <v>39</v>
      </c>
      <c r="O220" t="s">
        <v>178</v>
      </c>
      <c r="P220" t="s">
        <v>179</v>
      </c>
      <c r="Q220" t="s">
        <v>42</v>
      </c>
      <c r="R220" t="s">
        <v>43</v>
      </c>
      <c r="S220" t="s">
        <v>44</v>
      </c>
      <c r="T220" t="s">
        <v>305</v>
      </c>
      <c r="U220" t="s">
        <v>68</v>
      </c>
      <c r="V220" t="s">
        <v>762</v>
      </c>
      <c r="W220" t="s">
        <v>48</v>
      </c>
      <c r="X220" t="s">
        <v>49</v>
      </c>
      <c r="Y220" t="s">
        <v>82</v>
      </c>
      <c r="Z220" t="s">
        <v>83</v>
      </c>
      <c r="AA220" t="s">
        <v>84</v>
      </c>
      <c r="AB220" cm="1">
        <f t="array" ref="AB220">IF(OR(COUNTIF(K220, "*FAC.C*")&gt;0, COUNTIF(J220, "*チャージ*")&gt;0, COUNTIF(J220, "*ギフト*")&gt;0), IFERROR(_xlfn.XLOOKUP(B220, $B$1:B219, $AB$1:AB219, 0, 0, -1), 0), IFERROR(ROUND(_xlfn.XLOOKUP(B220, $B$1:B219, $AB$1:AB219, 0, 0, -1) * 0.9 + P220 * 0.1, 0), ""))</f>
        <v>4000</v>
      </c>
      <c r="AC220" t="s">
        <v>53</v>
      </c>
    </row>
    <row r="221" spans="1:29" x14ac:dyDescent="0.2">
      <c r="A221" t="s">
        <v>306</v>
      </c>
      <c r="B221" t="s">
        <v>307</v>
      </c>
      <c r="C221" t="s">
        <v>29</v>
      </c>
      <c r="D221" t="s">
        <v>308</v>
      </c>
      <c r="E221" t="s">
        <v>309</v>
      </c>
      <c r="F221" t="s">
        <v>145</v>
      </c>
      <c r="G221" t="s">
        <v>310</v>
      </c>
      <c r="H221" t="s">
        <v>77</v>
      </c>
      <c r="I221" s="2">
        <v>46134</v>
      </c>
      <c r="J221" s="1">
        <v>0.73996527777777776</v>
      </c>
      <c r="K221" t="s">
        <v>885</v>
      </c>
      <c r="L221" t="s">
        <v>137</v>
      </c>
      <c r="M221" t="s">
        <v>217</v>
      </c>
      <c r="N221" t="s">
        <v>1072</v>
      </c>
      <c r="O221" t="s">
        <v>1152</v>
      </c>
      <c r="P221">
        <v>800</v>
      </c>
      <c r="Q221" t="s">
        <v>42</v>
      </c>
      <c r="R221" t="s">
        <v>43</v>
      </c>
      <c r="S221" t="s">
        <v>44</v>
      </c>
      <c r="T221" t="s">
        <v>313</v>
      </c>
      <c r="U221" t="s">
        <v>46</v>
      </c>
      <c r="V221" s="2">
        <v>44836</v>
      </c>
      <c r="W221" t="s">
        <v>48</v>
      </c>
      <c r="X221" t="s">
        <v>49</v>
      </c>
      <c r="Y221" t="s">
        <v>142</v>
      </c>
      <c r="Z221">
        <v>16</v>
      </c>
      <c r="AA221" t="s">
        <v>84</v>
      </c>
      <c r="AB221" cm="1">
        <f t="array" ref="AB221">IF(OR(COUNTIF(K221, "*FAC.C*")&gt;0, COUNTIF(J221, "*チャージ*")&gt;0, COUNTIF(J221, "*ギフト*")&gt;0), IFERROR(_xlfn.XLOOKUP(B221, $B$1:B220, $AB$1:AB220, 0, 0, -1), 0), IFERROR(ROUND(_xlfn.XLOOKUP(B221, $B$1:B220, $AB$1:AB220, 0, 0, -1) * 0.9 + P221 * 0.1, 0), ""))</f>
        <v>4765</v>
      </c>
      <c r="AC221" t="s">
        <v>53</v>
      </c>
    </row>
    <row r="222" spans="1:29" x14ac:dyDescent="0.2">
      <c r="A222" t="s">
        <v>314</v>
      </c>
      <c r="B222" t="s">
        <v>315</v>
      </c>
      <c r="C222">
        <v>1</v>
      </c>
      <c r="D222" t="s">
        <v>316</v>
      </c>
      <c r="E222" t="s">
        <v>247</v>
      </c>
      <c r="F222">
        <v>1</v>
      </c>
      <c r="G222" t="s">
        <v>317</v>
      </c>
      <c r="H222" t="s">
        <v>34</v>
      </c>
      <c r="I222" s="2">
        <v>46135</v>
      </c>
      <c r="J222" s="1">
        <v>0.88901620370370371</v>
      </c>
      <c r="K222" t="s">
        <v>1139</v>
      </c>
      <c r="L222" t="s">
        <v>1097</v>
      </c>
      <c r="N222" t="s">
        <v>115</v>
      </c>
      <c r="O222" t="s">
        <v>1096</v>
      </c>
      <c r="P222">
        <v>500</v>
      </c>
      <c r="Q222" t="s">
        <v>42</v>
      </c>
      <c r="R222" t="s">
        <v>43</v>
      </c>
      <c r="S222" t="s">
        <v>44</v>
      </c>
      <c r="T222" t="s">
        <v>320</v>
      </c>
      <c r="U222" t="s">
        <v>200</v>
      </c>
      <c r="V222" t="s">
        <v>778</v>
      </c>
      <c r="W222" t="s">
        <v>48</v>
      </c>
      <c r="X222" t="s">
        <v>49</v>
      </c>
      <c r="Z222">
        <v>16</v>
      </c>
      <c r="AA222" t="s">
        <v>1135</v>
      </c>
      <c r="AB222" cm="1">
        <f t="array" ref="AB222">IF(OR(COUNTIF(K222, "*FAC.C*")&gt;0, COUNTIF(J222, "*チャージ*")&gt;0, COUNTIF(J222, "*ギフト*")&gt;0), IFERROR(_xlfn.XLOOKUP(B222, $B$1:B221, $AB$1:AB221, 0, 0, -1), 0), IFERROR(ROUND(_xlfn.XLOOKUP(B222, $B$1:B221, $AB$1:AB221, 0, 0, -1) * 0.9 + P222 * 0.1, 0), ""))</f>
        <v>500</v>
      </c>
      <c r="AC222" t="s">
        <v>53</v>
      </c>
    </row>
    <row r="223" spans="1:29" x14ac:dyDescent="0.2">
      <c r="A223" t="s">
        <v>321</v>
      </c>
      <c r="B223" t="s">
        <v>322</v>
      </c>
      <c r="C223" t="s">
        <v>32</v>
      </c>
      <c r="D223" t="s">
        <v>323</v>
      </c>
      <c r="E223" t="s">
        <v>324</v>
      </c>
      <c r="F223" t="s">
        <v>90</v>
      </c>
      <c r="G223" t="s">
        <v>325</v>
      </c>
      <c r="H223" t="s">
        <v>59</v>
      </c>
      <c r="I223" s="2">
        <v>46135</v>
      </c>
      <c r="J223" t="s">
        <v>614</v>
      </c>
      <c r="K223" t="s">
        <v>887</v>
      </c>
      <c r="L223" t="s">
        <v>125</v>
      </c>
      <c r="M223" t="s">
        <v>236</v>
      </c>
      <c r="N223" t="s">
        <v>115</v>
      </c>
      <c r="O223" t="s">
        <v>564</v>
      </c>
      <c r="P223" t="s">
        <v>41</v>
      </c>
      <c r="Q223" t="s">
        <v>42</v>
      </c>
      <c r="R223" t="s">
        <v>43</v>
      </c>
      <c r="S223" t="s">
        <v>44</v>
      </c>
      <c r="T223" t="s">
        <v>329</v>
      </c>
      <c r="U223" t="s">
        <v>97</v>
      </c>
      <c r="V223" t="s">
        <v>876</v>
      </c>
      <c r="W223" t="s">
        <v>48</v>
      </c>
      <c r="X223" t="s">
        <v>49</v>
      </c>
      <c r="Y223" t="s">
        <v>82</v>
      </c>
      <c r="Z223" t="s">
        <v>70</v>
      </c>
      <c r="AA223" t="s">
        <v>128</v>
      </c>
      <c r="AB223" cm="1">
        <f t="array" ref="AB223">IF(OR(COUNTIF(K223, "*FAC.C*")&gt;0, COUNTIF(J223, "*チャージ*")&gt;0, COUNTIF(J223, "*ギフト*")&gt;0), IFERROR(_xlfn.XLOOKUP(B223, $B$1:B222, $AB$1:AB222, 0, 0, -1), 0), IFERROR(ROUND(_xlfn.XLOOKUP(B223, $B$1:B222, $AB$1:AB222, 0, 0, -1) * 0.9 + P223 * 0.1, 0), ""))</f>
        <v>8175</v>
      </c>
      <c r="AC223" t="s">
        <v>53</v>
      </c>
    </row>
    <row r="224" spans="1:29" x14ac:dyDescent="0.2">
      <c r="A224" t="s">
        <v>330</v>
      </c>
      <c r="B224" t="s">
        <v>331</v>
      </c>
      <c r="C224" t="s">
        <v>29</v>
      </c>
      <c r="D224" t="s">
        <v>56</v>
      </c>
      <c r="E224" t="s">
        <v>332</v>
      </c>
      <c r="F224" t="s">
        <v>32</v>
      </c>
      <c r="G224" t="s">
        <v>333</v>
      </c>
      <c r="H224" t="s">
        <v>77</v>
      </c>
      <c r="I224" s="2">
        <v>46135</v>
      </c>
      <c r="J224" t="s">
        <v>620</v>
      </c>
      <c r="K224" t="s">
        <v>1052</v>
      </c>
      <c r="L224" t="s">
        <v>37</v>
      </c>
      <c r="N224" t="s">
        <v>115</v>
      </c>
      <c r="O224" t="s">
        <v>1056</v>
      </c>
      <c r="P224">
        <v>546</v>
      </c>
      <c r="Q224" t="s">
        <v>42</v>
      </c>
      <c r="R224" t="s">
        <v>43</v>
      </c>
      <c r="S224" t="s">
        <v>44</v>
      </c>
      <c r="T224" t="s">
        <v>67</v>
      </c>
      <c r="U224" t="s">
        <v>200</v>
      </c>
      <c r="W224" t="s">
        <v>48</v>
      </c>
      <c r="X224" t="s">
        <v>49</v>
      </c>
      <c r="Y224" t="s">
        <v>142</v>
      </c>
      <c r="Z224" t="s">
        <v>83</v>
      </c>
      <c r="AA224" t="s">
        <v>1048</v>
      </c>
      <c r="AB224" cm="1">
        <f t="array" ref="AB224">IF(OR(COUNTIF(K224, "*FAC.C*")&gt;0, COUNTIF(J224, "*チャージ*")&gt;0, COUNTIF(J224, "*ギフト*")&gt;0), IFERROR(_xlfn.XLOOKUP(B224, $B$1:B223, $AB$1:AB223, 0, 0, -1), 0), IFERROR(ROUND(_xlfn.XLOOKUP(B224, $B$1:B223, $AB$1:AB223, 0, 0, -1) * 0.9 + P224 * 0.1, 0), ""))</f>
        <v>722</v>
      </c>
      <c r="AC224" t="s">
        <v>85</v>
      </c>
    </row>
    <row r="225" spans="1:29" x14ac:dyDescent="0.2">
      <c r="A225" t="s">
        <v>336</v>
      </c>
      <c r="B225" t="s">
        <v>337</v>
      </c>
      <c r="C225" t="s">
        <v>29</v>
      </c>
      <c r="D225" t="s">
        <v>338</v>
      </c>
      <c r="E225" t="s">
        <v>204</v>
      </c>
      <c r="F225" t="s">
        <v>145</v>
      </c>
      <c r="G225" t="s">
        <v>339</v>
      </c>
      <c r="H225" t="s">
        <v>59</v>
      </c>
      <c r="I225" s="2">
        <v>46135</v>
      </c>
      <c r="J225" s="1">
        <v>0.40303240740740742</v>
      </c>
      <c r="K225" t="s">
        <v>888</v>
      </c>
      <c r="L225" t="s">
        <v>80</v>
      </c>
      <c r="M225" t="s">
        <v>1121</v>
      </c>
      <c r="N225" t="s">
        <v>1106</v>
      </c>
      <c r="O225" t="s">
        <v>1124</v>
      </c>
      <c r="P225">
        <v>3000</v>
      </c>
      <c r="Q225" t="s">
        <v>42</v>
      </c>
      <c r="R225" t="s">
        <v>43</v>
      </c>
      <c r="S225" t="s">
        <v>44</v>
      </c>
      <c r="T225" t="s">
        <v>341</v>
      </c>
      <c r="U225" t="s">
        <v>68</v>
      </c>
      <c r="V225" s="2">
        <v>46084</v>
      </c>
      <c r="W225" t="s">
        <v>48</v>
      </c>
      <c r="X225" t="s">
        <v>49</v>
      </c>
      <c r="Z225">
        <v>16</v>
      </c>
      <c r="AA225" t="s">
        <v>107</v>
      </c>
      <c r="AB225" cm="1">
        <f t="array" ref="AB225">IF(OR(COUNTIF(K225, "*FAC.C*")&gt;0, COUNTIF(J225, "*チャージ*")&gt;0, COUNTIF(J225, "*ギフト*")&gt;0), IFERROR(_xlfn.XLOOKUP(B225, $B$1:B224, $AB$1:AB224, 0, 0, -1), 0), IFERROR(ROUND(_xlfn.XLOOKUP(B225, $B$1:B224, $AB$1:AB224, 0, 0, -1) * 0.9 + P225 * 0.1, 0), ""))</f>
        <v>13800</v>
      </c>
      <c r="AC225" t="s">
        <v>53</v>
      </c>
    </row>
    <row r="226" spans="1:29" x14ac:dyDescent="0.2">
      <c r="A226" t="s">
        <v>342</v>
      </c>
      <c r="B226" t="s">
        <v>343</v>
      </c>
      <c r="C226" t="s">
        <v>145</v>
      </c>
      <c r="D226" t="s">
        <v>100</v>
      </c>
      <c r="E226" t="s">
        <v>284</v>
      </c>
      <c r="F226" t="s">
        <v>145</v>
      </c>
      <c r="G226" t="s">
        <v>344</v>
      </c>
      <c r="H226" t="s">
        <v>34</v>
      </c>
      <c r="I226" s="2">
        <v>46135</v>
      </c>
      <c r="J226" s="1">
        <v>0.87174768518518519</v>
      </c>
      <c r="K226" t="s">
        <v>889</v>
      </c>
      <c r="L226" t="s">
        <v>1141</v>
      </c>
      <c r="M226" t="s">
        <v>1145</v>
      </c>
      <c r="N226" t="s">
        <v>115</v>
      </c>
      <c r="O226" t="s">
        <v>1147</v>
      </c>
      <c r="P226">
        <v>3680</v>
      </c>
      <c r="Q226" t="s">
        <v>42</v>
      </c>
      <c r="R226" t="s">
        <v>43</v>
      </c>
      <c r="S226" t="s">
        <v>44</v>
      </c>
      <c r="T226" t="s">
        <v>106</v>
      </c>
      <c r="U226" t="s">
        <v>1131</v>
      </c>
      <c r="V226" s="2">
        <v>44109</v>
      </c>
      <c r="W226" t="s">
        <v>48</v>
      </c>
      <c r="X226" t="s">
        <v>49</v>
      </c>
      <c r="Y226" t="s">
        <v>142</v>
      </c>
      <c r="Z226">
        <v>16</v>
      </c>
      <c r="AA226" t="s">
        <v>128</v>
      </c>
      <c r="AB226" cm="1">
        <f t="array" ref="AB226">IF(OR(COUNTIF(K226, "*FAC.C*")&gt;0, COUNTIF(J226, "*チャージ*")&gt;0, COUNTIF(J226, "*ギフト*")&gt;0), IFERROR(_xlfn.XLOOKUP(B226, $B$1:B225, $AB$1:AB225, 0, 0, -1), 0), IFERROR(ROUND(_xlfn.XLOOKUP(B226, $B$1:B225, $AB$1:AB225, 0, 0, -1) * 0.9 + P226 * 0.1, 0), ""))</f>
        <v>1265</v>
      </c>
      <c r="AC226" t="s">
        <v>53</v>
      </c>
    </row>
    <row r="227" spans="1:29" x14ac:dyDescent="0.2">
      <c r="A227" t="s">
        <v>347</v>
      </c>
      <c r="B227" t="s">
        <v>348</v>
      </c>
      <c r="C227" t="s">
        <v>145</v>
      </c>
      <c r="D227" t="s">
        <v>349</v>
      </c>
      <c r="E227" t="s">
        <v>350</v>
      </c>
      <c r="F227" t="s">
        <v>29</v>
      </c>
      <c r="G227" t="s">
        <v>351</v>
      </c>
      <c r="H227" t="s">
        <v>34</v>
      </c>
      <c r="I227" s="2">
        <v>46135</v>
      </c>
      <c r="J227" t="s">
        <v>639</v>
      </c>
      <c r="K227" t="s">
        <v>890</v>
      </c>
      <c r="L227" t="s">
        <v>62</v>
      </c>
      <c r="M227" t="s">
        <v>38</v>
      </c>
      <c r="N227" t="s">
        <v>39</v>
      </c>
      <c r="O227" t="s">
        <v>228</v>
      </c>
      <c r="P227" t="s">
        <v>160</v>
      </c>
      <c r="Q227" t="s">
        <v>42</v>
      </c>
      <c r="R227" t="s">
        <v>43</v>
      </c>
      <c r="S227" t="s">
        <v>44</v>
      </c>
      <c r="T227" t="s">
        <v>354</v>
      </c>
      <c r="U227" t="s">
        <v>221</v>
      </c>
      <c r="V227" t="s">
        <v>778</v>
      </c>
      <c r="W227" t="s">
        <v>48</v>
      </c>
      <c r="X227" t="s">
        <v>49</v>
      </c>
      <c r="Y227" t="s">
        <v>69</v>
      </c>
      <c r="Z227" t="s">
        <v>51</v>
      </c>
      <c r="AA227" t="s">
        <v>52</v>
      </c>
      <c r="AB227" cm="1">
        <f t="array" ref="AB227">IF(OR(COUNTIF(K227, "*FAC.C*")&gt;0, COUNTIF(J227, "*チャージ*")&gt;0, COUNTIF(J227, "*ギフト*")&gt;0), IFERROR(_xlfn.XLOOKUP(B227, $B$1:B226, $AB$1:AB226, 0, 0, -1), 0), IFERROR(ROUND(_xlfn.XLOOKUP(B227, $B$1:B226, $AB$1:AB226, 0, 0, -1) * 0.9 + P227 * 0.1, 0), ""))</f>
        <v>5028</v>
      </c>
      <c r="AC227" t="s">
        <v>85</v>
      </c>
    </row>
    <row r="228" spans="1:29" x14ac:dyDescent="0.2">
      <c r="A228" t="s">
        <v>355</v>
      </c>
      <c r="B228" t="s">
        <v>356</v>
      </c>
      <c r="C228" t="s">
        <v>29</v>
      </c>
      <c r="D228" t="s">
        <v>357</v>
      </c>
      <c r="E228" t="s">
        <v>358</v>
      </c>
      <c r="F228" t="s">
        <v>173</v>
      </c>
      <c r="G228" t="s">
        <v>359</v>
      </c>
      <c r="H228" t="s">
        <v>134</v>
      </c>
      <c r="I228" s="2">
        <v>46135</v>
      </c>
      <c r="J228" t="s">
        <v>645</v>
      </c>
      <c r="K228" t="s">
        <v>891</v>
      </c>
      <c r="L228" t="s">
        <v>125</v>
      </c>
      <c r="M228" t="s">
        <v>126</v>
      </c>
      <c r="N228" t="s">
        <v>115</v>
      </c>
      <c r="O228" t="s">
        <v>127</v>
      </c>
      <c r="P228" t="s">
        <v>41</v>
      </c>
      <c r="Q228" t="s">
        <v>42</v>
      </c>
      <c r="R228" t="s">
        <v>43</v>
      </c>
      <c r="S228" t="s">
        <v>44</v>
      </c>
      <c r="T228" t="s">
        <v>364</v>
      </c>
      <c r="U228" t="s">
        <v>221</v>
      </c>
      <c r="V228" t="s">
        <v>257</v>
      </c>
      <c r="W228" t="s">
        <v>48</v>
      </c>
      <c r="X228" t="s">
        <v>49</v>
      </c>
      <c r="Y228" t="s">
        <v>82</v>
      </c>
      <c r="Z228" t="s">
        <v>51</v>
      </c>
      <c r="AA228" t="s">
        <v>107</v>
      </c>
      <c r="AB228" cm="1">
        <f t="array" ref="AB228">IF(OR(COUNTIF(K228, "*FAC.C*")&gt;0, COUNTIF(J228, "*チャージ*")&gt;0, COUNTIF(J228, "*ギフト*")&gt;0), IFERROR(_xlfn.XLOOKUP(B228, $B$1:B227, $AB$1:AB227, 0, 0, -1), 0), IFERROR(ROUND(_xlfn.XLOOKUP(B228, $B$1:B227, $AB$1:AB227, 0, 0, -1) * 0.9 + P228 * 0.1, 0), ""))</f>
        <v>6972</v>
      </c>
      <c r="AC228" t="s">
        <v>85</v>
      </c>
    </row>
    <row r="229" spans="1:29" x14ac:dyDescent="0.2">
      <c r="A229" t="s">
        <v>365</v>
      </c>
      <c r="B229" t="s">
        <v>366</v>
      </c>
      <c r="C229" t="s">
        <v>32</v>
      </c>
      <c r="D229" t="s">
        <v>367</v>
      </c>
      <c r="E229" t="s">
        <v>368</v>
      </c>
      <c r="F229" t="s">
        <v>145</v>
      </c>
      <c r="G229" t="s">
        <v>369</v>
      </c>
      <c r="H229" t="s">
        <v>34</v>
      </c>
      <c r="I229" s="2">
        <v>46135</v>
      </c>
      <c r="J229" t="s">
        <v>651</v>
      </c>
      <c r="K229" t="s">
        <v>892</v>
      </c>
      <c r="L229" t="s">
        <v>137</v>
      </c>
      <c r="M229" t="s">
        <v>138</v>
      </c>
      <c r="N229" t="s">
        <v>39</v>
      </c>
      <c r="O229" t="s">
        <v>139</v>
      </c>
      <c r="P229" t="s">
        <v>140</v>
      </c>
      <c r="Q229" t="s">
        <v>42</v>
      </c>
      <c r="R229" t="s">
        <v>43</v>
      </c>
      <c r="S229" t="s">
        <v>44</v>
      </c>
      <c r="T229" t="s">
        <v>372</v>
      </c>
      <c r="U229" t="s">
        <v>68</v>
      </c>
      <c r="V229" t="s">
        <v>823</v>
      </c>
      <c r="W229" t="s">
        <v>48</v>
      </c>
      <c r="X229" t="s">
        <v>49</v>
      </c>
      <c r="Y229" t="s">
        <v>142</v>
      </c>
      <c r="Z229" t="s">
        <v>51</v>
      </c>
      <c r="AA229" t="s">
        <v>52</v>
      </c>
      <c r="AB229" cm="1">
        <f t="array" ref="AB229">IF(OR(COUNTIF(K229, "*FAC.C*")&gt;0, COUNTIF(J229, "*チャージ*")&gt;0, COUNTIF(J229, "*ギフト*")&gt;0), IFERROR(_xlfn.XLOOKUP(B229, $B$1:B228, $AB$1:AB228, 0, 0, -1), 0), IFERROR(ROUND(_xlfn.XLOOKUP(B229, $B$1:B228, $AB$1:AB228, 0, 0, -1) * 0.9 + P229 * 0.1, 0), ""))</f>
        <v>2207</v>
      </c>
      <c r="AC229" t="s">
        <v>53</v>
      </c>
    </row>
    <row r="230" spans="1:29" x14ac:dyDescent="0.2">
      <c r="A230" t="s">
        <v>86</v>
      </c>
      <c r="B230" t="s">
        <v>87</v>
      </c>
      <c r="C230" t="s">
        <v>32</v>
      </c>
      <c r="D230" t="s">
        <v>88</v>
      </c>
      <c r="E230" t="s">
        <v>89</v>
      </c>
      <c r="F230">
        <v>1</v>
      </c>
      <c r="G230" t="s">
        <v>91</v>
      </c>
      <c r="H230" t="s">
        <v>77</v>
      </c>
      <c r="I230" s="2">
        <v>46135</v>
      </c>
      <c r="J230" t="s">
        <v>658</v>
      </c>
      <c r="K230" t="s">
        <v>893</v>
      </c>
      <c r="L230" t="s">
        <v>1079</v>
      </c>
      <c r="M230" t="s">
        <v>1084</v>
      </c>
      <c r="N230" t="s">
        <v>1072</v>
      </c>
      <c r="O230" t="s">
        <v>94</v>
      </c>
      <c r="P230" t="s">
        <v>95</v>
      </c>
      <c r="Q230" t="s">
        <v>42</v>
      </c>
      <c r="R230" t="s">
        <v>43</v>
      </c>
      <c r="S230" t="s">
        <v>44</v>
      </c>
      <c r="T230" t="s">
        <v>96</v>
      </c>
      <c r="U230" t="s">
        <v>200</v>
      </c>
      <c r="V230" t="s">
        <v>876</v>
      </c>
      <c r="W230" t="s">
        <v>48</v>
      </c>
      <c r="X230" t="s">
        <v>49</v>
      </c>
      <c r="Z230">
        <v>14</v>
      </c>
      <c r="AA230" t="s">
        <v>52</v>
      </c>
      <c r="AB230" cm="1">
        <f t="array" ref="AB230">IF(OR(COUNTIF(K230, "*FAC.C*")&gt;0, COUNTIF(J230, "*チャージ*")&gt;0, COUNTIF(J230, "*ギフト*")&gt;0), IFERROR(_xlfn.XLOOKUP(B230, $B$1:B229, $AB$1:AB229, 0, 0, -1), 0), IFERROR(ROUND(_xlfn.XLOOKUP(B230, $B$1:B229, $AB$1:AB229, 0, 0, -1) * 0.9 + P230 * 0.1, 0), ""))</f>
        <v>980</v>
      </c>
      <c r="AC230" t="s">
        <v>1075</v>
      </c>
    </row>
    <row r="231" spans="1:29" x14ac:dyDescent="0.2">
      <c r="A231" t="s">
        <v>98</v>
      </c>
      <c r="B231" t="s">
        <v>99</v>
      </c>
      <c r="C231" t="s">
        <v>29</v>
      </c>
      <c r="D231" t="s">
        <v>100</v>
      </c>
      <c r="E231" t="s">
        <v>101</v>
      </c>
      <c r="F231" t="s">
        <v>90</v>
      </c>
      <c r="G231" s="4">
        <v>748693027385298</v>
      </c>
      <c r="H231" t="s">
        <v>34</v>
      </c>
      <c r="I231" s="2">
        <v>46135</v>
      </c>
      <c r="J231" t="s">
        <v>664</v>
      </c>
      <c r="K231" t="s">
        <v>894</v>
      </c>
      <c r="L231" t="s">
        <v>62</v>
      </c>
      <c r="M231" t="s">
        <v>1027</v>
      </c>
      <c r="N231" t="s">
        <v>1028</v>
      </c>
      <c r="O231" t="s">
        <v>1064</v>
      </c>
      <c r="P231">
        <v>4900</v>
      </c>
      <c r="Q231" t="s">
        <v>42</v>
      </c>
      <c r="R231" t="s">
        <v>43</v>
      </c>
      <c r="S231" t="s">
        <v>44</v>
      </c>
      <c r="T231" t="s">
        <v>106</v>
      </c>
      <c r="U231" t="s">
        <v>200</v>
      </c>
      <c r="V231" s="2">
        <v>44284</v>
      </c>
      <c r="W231" t="s">
        <v>48</v>
      </c>
      <c r="X231" t="s">
        <v>49</v>
      </c>
      <c r="Y231" t="s">
        <v>69</v>
      </c>
      <c r="Z231">
        <v>14</v>
      </c>
      <c r="AA231" t="s">
        <v>107</v>
      </c>
      <c r="AB231" cm="1">
        <f t="array" ref="AB231">IF(OR(COUNTIF(K231, "*FAC.C*")&gt;0, COUNTIF(J231, "*チャージ*")&gt;0, COUNTIF(J231, "*ギフト*")&gt;0), IFERROR(_xlfn.XLOOKUP(B231, $B$1:B230, $AB$1:AB230, 0, 0, -1), 0), IFERROR(ROUND(_xlfn.XLOOKUP(B231, $B$1:B230, $AB$1:AB230, 0, 0, -1) * 0.9 + P231 * 0.1, 0), ""))</f>
        <v>16535</v>
      </c>
      <c r="AC231" t="s">
        <v>1045</v>
      </c>
    </row>
    <row r="232" spans="1:29" x14ac:dyDescent="0.2">
      <c r="A232" t="s">
        <v>108</v>
      </c>
      <c r="B232" t="s">
        <v>109</v>
      </c>
      <c r="C232">
        <v>1</v>
      </c>
      <c r="D232" t="s">
        <v>110</v>
      </c>
      <c r="E232" t="s">
        <v>111</v>
      </c>
      <c r="F232">
        <v>1</v>
      </c>
      <c r="G232" t="s">
        <v>112</v>
      </c>
      <c r="H232" t="s">
        <v>34</v>
      </c>
      <c r="I232" s="2">
        <v>46136</v>
      </c>
      <c r="J232" s="1">
        <v>0.79535879629629624</v>
      </c>
      <c r="K232" t="s">
        <v>1113</v>
      </c>
      <c r="L232" t="s">
        <v>113</v>
      </c>
      <c r="N232" t="s">
        <v>115</v>
      </c>
      <c r="O232" t="s">
        <v>1116</v>
      </c>
      <c r="P232">
        <v>594</v>
      </c>
      <c r="Q232" t="s">
        <v>42</v>
      </c>
      <c r="R232" t="s">
        <v>43</v>
      </c>
      <c r="S232" t="s">
        <v>44</v>
      </c>
      <c r="T232" t="s">
        <v>118</v>
      </c>
      <c r="U232" t="s">
        <v>97</v>
      </c>
      <c r="W232" t="s">
        <v>48</v>
      </c>
      <c r="X232" t="s">
        <v>49</v>
      </c>
      <c r="Z232">
        <v>16</v>
      </c>
      <c r="AA232" t="s">
        <v>71</v>
      </c>
      <c r="AB232" cm="1">
        <f t="array" ref="AB232">IF(OR(COUNTIF(K232, "*FAC.C*")&gt;0, COUNTIF(J232, "*チャージ*")&gt;0, COUNTIF(J232, "*ギフト*")&gt;0), IFERROR(_xlfn.XLOOKUP(B232, $B$1:B231, $AB$1:AB231, 0, 0, -1), 0), IFERROR(ROUND(_xlfn.XLOOKUP(B232, $B$1:B231, $AB$1:AB231, 0, 0, -1) * 0.9 + P232 * 0.1, 0), ""))</f>
        <v>271</v>
      </c>
      <c r="AC232" t="s">
        <v>53</v>
      </c>
    </row>
    <row r="233" spans="1:29" x14ac:dyDescent="0.2">
      <c r="A233" t="s">
        <v>119</v>
      </c>
      <c r="B233" t="s">
        <v>120</v>
      </c>
      <c r="C233" t="s">
        <v>29</v>
      </c>
      <c r="D233" t="s">
        <v>100</v>
      </c>
      <c r="E233" t="s">
        <v>121</v>
      </c>
      <c r="F233" t="s">
        <v>32</v>
      </c>
      <c r="G233" t="s">
        <v>122</v>
      </c>
      <c r="H233" t="s">
        <v>34</v>
      </c>
      <c r="I233" s="2">
        <v>46136</v>
      </c>
      <c r="J233" s="1">
        <v>0.33049768518518519</v>
      </c>
      <c r="K233" t="s">
        <v>896</v>
      </c>
      <c r="L233" t="s">
        <v>62</v>
      </c>
      <c r="M233" t="s">
        <v>93</v>
      </c>
      <c r="N233" t="s">
        <v>1028</v>
      </c>
      <c r="O233" t="s">
        <v>178</v>
      </c>
      <c r="P233" t="s">
        <v>179</v>
      </c>
      <c r="Q233" t="s">
        <v>42</v>
      </c>
      <c r="R233" t="s">
        <v>43</v>
      </c>
      <c r="S233" t="s">
        <v>44</v>
      </c>
      <c r="T233" t="s">
        <v>106</v>
      </c>
      <c r="U233" t="s">
        <v>68</v>
      </c>
      <c r="V233" s="2">
        <v>46132</v>
      </c>
      <c r="W233" t="s">
        <v>48</v>
      </c>
      <c r="X233" t="s">
        <v>49</v>
      </c>
      <c r="Y233" t="s">
        <v>69</v>
      </c>
      <c r="Z233" t="s">
        <v>70</v>
      </c>
      <c r="AA233" t="s">
        <v>128</v>
      </c>
      <c r="AB233" cm="1">
        <f t="array" ref="AB233">IF(OR(COUNTIF(K233, "*FAC.C*")&gt;0, COUNTIF(J233, "*チャージ*")&gt;0, COUNTIF(J233, "*ギフト*")&gt;0), IFERROR(_xlfn.XLOOKUP(B233, $B$1:B232, $AB$1:AB232, 0, 0, -1), 0), IFERROR(ROUND(_xlfn.XLOOKUP(B233, $B$1:B232, $AB$1:AB232, 0, 0, -1) * 0.9 + P233 * 0.1, 0), ""))</f>
        <v>1434</v>
      </c>
      <c r="AC233" t="s">
        <v>85</v>
      </c>
    </row>
    <row r="234" spans="1:29" x14ac:dyDescent="0.2">
      <c r="A234" t="s">
        <v>129</v>
      </c>
      <c r="B234" t="s">
        <v>130</v>
      </c>
      <c r="C234" t="s">
        <v>29</v>
      </c>
      <c r="D234" t="s">
        <v>131</v>
      </c>
      <c r="E234" t="s">
        <v>132</v>
      </c>
      <c r="F234" t="s">
        <v>29</v>
      </c>
      <c r="G234" t="s">
        <v>133</v>
      </c>
      <c r="H234" t="s">
        <v>134</v>
      </c>
      <c r="I234" s="2">
        <v>46136</v>
      </c>
      <c r="J234" s="1">
        <v>0.42363425925925924</v>
      </c>
      <c r="K234" t="s">
        <v>897</v>
      </c>
      <c r="L234" t="s">
        <v>137</v>
      </c>
      <c r="M234" t="s">
        <v>138</v>
      </c>
      <c r="N234" t="s">
        <v>1182</v>
      </c>
      <c r="O234" t="s">
        <v>1183</v>
      </c>
      <c r="P234">
        <v>480</v>
      </c>
      <c r="Q234" t="s">
        <v>42</v>
      </c>
      <c r="R234" t="s">
        <v>43</v>
      </c>
      <c r="S234" t="s">
        <v>44</v>
      </c>
      <c r="T234" t="s">
        <v>141</v>
      </c>
      <c r="U234" t="s">
        <v>221</v>
      </c>
      <c r="V234" s="2">
        <v>43921</v>
      </c>
      <c r="W234" t="s">
        <v>48</v>
      </c>
      <c r="X234" t="s">
        <v>49</v>
      </c>
      <c r="Y234" t="s">
        <v>142</v>
      </c>
      <c r="Z234">
        <v>16</v>
      </c>
      <c r="AA234" t="s">
        <v>52</v>
      </c>
      <c r="AB234" cm="1">
        <f t="array" ref="AB234">IF(OR(COUNTIF(K234, "*FAC.C*")&gt;0, COUNTIF(J234, "*チャージ*")&gt;0, COUNTIF(J234, "*ギフト*")&gt;0), IFERROR(_xlfn.XLOOKUP(B234, $B$1:B233, $AB$1:AB233, 0, 0, -1), 0), IFERROR(ROUND(_xlfn.XLOOKUP(B234, $B$1:B233, $AB$1:AB233, 0, 0, -1) * 0.9 + P234 * 0.1, 0), ""))</f>
        <v>480</v>
      </c>
      <c r="AC234" t="s">
        <v>53</v>
      </c>
    </row>
    <row r="235" spans="1:29" x14ac:dyDescent="0.2">
      <c r="A235" t="s">
        <v>143</v>
      </c>
      <c r="B235" t="s">
        <v>144</v>
      </c>
      <c r="C235" t="s">
        <v>145</v>
      </c>
      <c r="D235" t="s">
        <v>146</v>
      </c>
      <c r="E235" t="s">
        <v>147</v>
      </c>
      <c r="F235">
        <v>2</v>
      </c>
      <c r="G235" t="s">
        <v>148</v>
      </c>
      <c r="H235" t="s">
        <v>77</v>
      </c>
      <c r="I235" s="2">
        <v>46136</v>
      </c>
      <c r="J235" s="1">
        <v>0.50839120370370372</v>
      </c>
      <c r="K235" t="s">
        <v>898</v>
      </c>
      <c r="L235" t="s">
        <v>1097</v>
      </c>
      <c r="M235" t="s">
        <v>104</v>
      </c>
      <c r="N235" t="s">
        <v>1099</v>
      </c>
      <c r="O235" t="s">
        <v>1101</v>
      </c>
      <c r="P235">
        <v>980</v>
      </c>
      <c r="S235" t="s">
        <v>44</v>
      </c>
      <c r="T235" t="s">
        <v>150</v>
      </c>
      <c r="U235" t="s">
        <v>97</v>
      </c>
      <c r="V235" s="2">
        <v>44651</v>
      </c>
      <c r="W235" t="s">
        <v>48</v>
      </c>
      <c r="X235" t="s">
        <v>49</v>
      </c>
      <c r="Z235">
        <v>16</v>
      </c>
      <c r="AA235" t="s">
        <v>84</v>
      </c>
      <c r="AB235" cm="1">
        <f t="array" ref="AB235">IF(OR(COUNTIF(K235, "*FAC.C*")&gt;0, COUNTIF(J235, "*チャージ*")&gt;0, COUNTIF(J235, "*ギフト*")&gt;0), IFERROR(_xlfn.XLOOKUP(B235, $B$1:B234, $AB$1:AB234, 0, 0, -1), 0), IFERROR(ROUND(_xlfn.XLOOKUP(B235, $B$1:B234, $AB$1:AB234, 0, 0, -1) * 0.9 + P235 * 0.1, 0), ""))</f>
        <v>585</v>
      </c>
      <c r="AC235" t="s">
        <v>53</v>
      </c>
    </row>
    <row r="236" spans="1:29" x14ac:dyDescent="0.2">
      <c r="A236" t="s">
        <v>151</v>
      </c>
      <c r="B236" t="s">
        <v>152</v>
      </c>
      <c r="C236" t="s">
        <v>32</v>
      </c>
      <c r="D236" t="s">
        <v>153</v>
      </c>
      <c r="E236" t="s">
        <v>154</v>
      </c>
      <c r="F236" t="s">
        <v>90</v>
      </c>
      <c r="G236" t="s">
        <v>155</v>
      </c>
      <c r="H236" t="s">
        <v>77</v>
      </c>
      <c r="I236" s="2">
        <v>46136</v>
      </c>
      <c r="J236" t="s">
        <v>687</v>
      </c>
      <c r="K236" t="s">
        <v>899</v>
      </c>
      <c r="L236" t="s">
        <v>113</v>
      </c>
      <c r="M236" t="s">
        <v>63</v>
      </c>
      <c r="N236" t="s">
        <v>64</v>
      </c>
      <c r="O236" t="s">
        <v>328</v>
      </c>
      <c r="P236" t="s">
        <v>41</v>
      </c>
      <c r="Q236" t="s">
        <v>42</v>
      </c>
      <c r="R236" t="s">
        <v>43</v>
      </c>
      <c r="S236" t="s">
        <v>44</v>
      </c>
      <c r="T236" t="s">
        <v>161</v>
      </c>
      <c r="U236" t="s">
        <v>221</v>
      </c>
      <c r="V236" t="s">
        <v>886</v>
      </c>
      <c r="W236" t="s">
        <v>48</v>
      </c>
      <c r="X236" t="s">
        <v>49</v>
      </c>
      <c r="Y236" t="s">
        <v>82</v>
      </c>
      <c r="Z236" t="s">
        <v>70</v>
      </c>
      <c r="AA236" t="s">
        <v>71</v>
      </c>
      <c r="AB236" cm="1">
        <f t="array" ref="AB236">IF(OR(COUNTIF(K236, "*FAC.C*")&gt;0, COUNTIF(J236, "*チャージ*")&gt;0, COUNTIF(J236, "*ギフト*")&gt;0), IFERROR(_xlfn.XLOOKUP(B236, $B$1:B235, $AB$1:AB235, 0, 0, -1), 0), IFERROR(ROUND(_xlfn.XLOOKUP(B236, $B$1:B235, $AB$1:AB235, 0, 0, -1) * 0.9 + P236 * 0.1, 0), ""))</f>
        <v>5470</v>
      </c>
      <c r="AC236" t="s">
        <v>53</v>
      </c>
    </row>
    <row r="237" spans="1:29" x14ac:dyDescent="0.2">
      <c r="A237" t="s">
        <v>162</v>
      </c>
      <c r="B237" t="s">
        <v>163</v>
      </c>
      <c r="C237" t="s">
        <v>145</v>
      </c>
      <c r="D237" t="s">
        <v>164</v>
      </c>
      <c r="E237" t="s">
        <v>165</v>
      </c>
      <c r="F237" t="s">
        <v>145</v>
      </c>
      <c r="G237" t="s">
        <v>166</v>
      </c>
      <c r="H237" t="s">
        <v>34</v>
      </c>
      <c r="I237" s="2">
        <v>46136</v>
      </c>
      <c r="J237" t="s">
        <v>690</v>
      </c>
      <c r="K237" t="s">
        <v>900</v>
      </c>
      <c r="L237" t="s">
        <v>62</v>
      </c>
      <c r="M237" t="s">
        <v>250</v>
      </c>
      <c r="N237" t="s">
        <v>115</v>
      </c>
      <c r="O237" t="s">
        <v>251</v>
      </c>
      <c r="P237" t="s">
        <v>41</v>
      </c>
      <c r="Q237" t="s">
        <v>42</v>
      </c>
      <c r="R237" t="s">
        <v>43</v>
      </c>
      <c r="S237" t="s">
        <v>44</v>
      </c>
      <c r="T237" t="s">
        <v>170</v>
      </c>
      <c r="U237" t="s">
        <v>97</v>
      </c>
      <c r="V237" t="s">
        <v>886</v>
      </c>
      <c r="W237" t="s">
        <v>48</v>
      </c>
      <c r="X237" t="s">
        <v>49</v>
      </c>
      <c r="Y237" t="s">
        <v>69</v>
      </c>
      <c r="Z237" t="s">
        <v>83</v>
      </c>
      <c r="AA237" t="s">
        <v>84</v>
      </c>
      <c r="AB237" cm="1">
        <f t="array" ref="AB237">IF(OR(COUNTIF(K237, "*FAC.C*")&gt;0, COUNTIF(J237, "*チャージ*")&gt;0, COUNTIF(J237, "*ギフト*")&gt;0), IFERROR(_xlfn.XLOOKUP(B237, $B$1:B236, $AB$1:AB236, 0, 0, -1), 0), IFERROR(ROUND(_xlfn.XLOOKUP(B237, $B$1:B236, $AB$1:AB236, 0, 0, -1) * 0.9 + P237 * 0.1, 0), ""))</f>
        <v>4873</v>
      </c>
      <c r="AC237" t="s">
        <v>85</v>
      </c>
    </row>
    <row r="238" spans="1:29" x14ac:dyDescent="0.2">
      <c r="A238" t="s">
        <v>171</v>
      </c>
      <c r="B238" t="s">
        <v>172</v>
      </c>
      <c r="C238" t="s">
        <v>173</v>
      </c>
      <c r="D238" t="s">
        <v>1043</v>
      </c>
      <c r="E238" t="s">
        <v>175</v>
      </c>
      <c r="F238" t="s">
        <v>32</v>
      </c>
      <c r="G238" t="s">
        <v>176</v>
      </c>
      <c r="H238" t="s">
        <v>59</v>
      </c>
      <c r="I238" s="2">
        <v>46136</v>
      </c>
      <c r="J238" t="s">
        <v>693</v>
      </c>
      <c r="K238" t="s">
        <v>901</v>
      </c>
      <c r="L238" t="s">
        <v>37</v>
      </c>
      <c r="M238" t="s">
        <v>114</v>
      </c>
      <c r="N238" t="s">
        <v>1025</v>
      </c>
      <c r="O238" t="s">
        <v>666</v>
      </c>
      <c r="P238" t="s">
        <v>41</v>
      </c>
      <c r="Q238" t="s">
        <v>42</v>
      </c>
      <c r="R238" t="s">
        <v>43</v>
      </c>
      <c r="S238" t="s">
        <v>44</v>
      </c>
      <c r="T238" t="s">
        <v>180</v>
      </c>
      <c r="U238" t="s">
        <v>200</v>
      </c>
      <c r="V238" s="2">
        <v>45674</v>
      </c>
      <c r="W238" t="s">
        <v>48</v>
      </c>
      <c r="X238" t="s">
        <v>49</v>
      </c>
      <c r="Y238" t="s">
        <v>69</v>
      </c>
      <c r="Z238" t="s">
        <v>51</v>
      </c>
      <c r="AA238" t="s">
        <v>107</v>
      </c>
      <c r="AB238" cm="1">
        <f t="array" ref="AB238">IF(OR(COUNTIF(K238, "*FAC.C*")&gt;0, COUNTIF(J238, "*チャージ*")&gt;0, COUNTIF(J238, "*ギフト*")&gt;0), IFERROR(_xlfn.XLOOKUP(B238, $B$1:B237, $AB$1:AB237, 0, 0, -1), 0), IFERROR(ROUND(_xlfn.XLOOKUP(B238, $B$1:B237, $AB$1:AB237, 0, 0, -1) * 0.9 + P238 * 0.1, 0), ""))</f>
        <v>4243</v>
      </c>
      <c r="AC238" t="s">
        <v>53</v>
      </c>
    </row>
    <row r="239" spans="1:29" x14ac:dyDescent="0.2">
      <c r="A239" t="s">
        <v>181</v>
      </c>
      <c r="B239" t="s">
        <v>182</v>
      </c>
      <c r="C239" t="s">
        <v>29</v>
      </c>
      <c r="D239" t="s">
        <v>183</v>
      </c>
      <c r="E239" t="s">
        <v>70</v>
      </c>
      <c r="F239" t="s">
        <v>90</v>
      </c>
      <c r="G239" t="s">
        <v>184</v>
      </c>
      <c r="H239" t="s">
        <v>34</v>
      </c>
      <c r="I239" s="2">
        <v>46136</v>
      </c>
      <c r="J239" t="s">
        <v>449</v>
      </c>
      <c r="K239" t="s">
        <v>902</v>
      </c>
      <c r="L239" t="s">
        <v>80</v>
      </c>
      <c r="M239" t="s">
        <v>114</v>
      </c>
      <c r="N239" t="s">
        <v>115</v>
      </c>
      <c r="O239" t="s">
        <v>116</v>
      </c>
      <c r="P239" t="s">
        <v>117</v>
      </c>
      <c r="Q239" t="s">
        <v>42</v>
      </c>
      <c r="R239" t="s">
        <v>43</v>
      </c>
      <c r="S239" t="s">
        <v>44</v>
      </c>
      <c r="T239" t="s">
        <v>189</v>
      </c>
      <c r="U239" t="s">
        <v>46</v>
      </c>
      <c r="V239" t="s">
        <v>886</v>
      </c>
      <c r="W239" t="s">
        <v>48</v>
      </c>
      <c r="X239" t="s">
        <v>49</v>
      </c>
      <c r="Y239" t="s">
        <v>82</v>
      </c>
      <c r="Z239" t="s">
        <v>51</v>
      </c>
      <c r="AA239" t="s">
        <v>52</v>
      </c>
      <c r="AB239" cm="1">
        <f t="array" ref="AB239">IF(OR(COUNTIF(K239, "*FAC.C*")&gt;0, COUNTIF(J239, "*チャージ*")&gt;0, COUNTIF(J239, "*ギフト*")&gt;0), IFERROR(_xlfn.XLOOKUP(B239, $B$1:B238, $AB$1:AB238, 0, 0, -1), 0), IFERROR(ROUND(_xlfn.XLOOKUP(B239, $B$1:B238, $AB$1:AB238, 0, 0, -1) * 0.9 + P239 * 0.1, 0), ""))</f>
        <v>4737</v>
      </c>
      <c r="AC239" t="s">
        <v>85</v>
      </c>
    </row>
    <row r="240" spans="1:29" x14ac:dyDescent="0.2">
      <c r="A240" t="s">
        <v>190</v>
      </c>
      <c r="B240" t="s">
        <v>191</v>
      </c>
      <c r="C240" t="s">
        <v>32</v>
      </c>
      <c r="D240" t="s">
        <v>192</v>
      </c>
      <c r="E240">
        <v>30</v>
      </c>
      <c r="F240" t="s">
        <v>29</v>
      </c>
      <c r="G240" t="s">
        <v>194</v>
      </c>
      <c r="H240" t="s">
        <v>77</v>
      </c>
      <c r="I240" s="2">
        <v>46136</v>
      </c>
      <c r="J240" t="s">
        <v>701</v>
      </c>
      <c r="K240" t="s">
        <v>903</v>
      </c>
      <c r="L240" t="s">
        <v>1141</v>
      </c>
      <c r="M240" t="s">
        <v>1142</v>
      </c>
      <c r="N240" t="s">
        <v>1077</v>
      </c>
      <c r="O240" t="s">
        <v>1143</v>
      </c>
      <c r="P240">
        <v>610</v>
      </c>
      <c r="Q240" t="s">
        <v>42</v>
      </c>
      <c r="R240" t="s">
        <v>43</v>
      </c>
      <c r="S240" t="s">
        <v>44</v>
      </c>
      <c r="T240" t="s">
        <v>199</v>
      </c>
      <c r="U240" t="s">
        <v>221</v>
      </c>
      <c r="V240" t="s">
        <v>886</v>
      </c>
      <c r="W240" t="s">
        <v>48</v>
      </c>
      <c r="X240" t="s">
        <v>49</v>
      </c>
      <c r="Y240">
        <v>498007</v>
      </c>
      <c r="Z240">
        <v>15</v>
      </c>
      <c r="AA240" t="s">
        <v>52</v>
      </c>
      <c r="AB240" cm="1">
        <f t="array" ref="AB240">IF(OR(COUNTIF(K240, "*FAC.C*")&gt;0, COUNTIF(J240, "*チャージ*")&gt;0, COUNTIF(J240, "*ギフト*")&gt;0), IFERROR(_xlfn.XLOOKUP(B240, $B$1:B239, $AB$1:AB239, 0, 0, -1), 0), IFERROR(ROUND(_xlfn.XLOOKUP(B240, $B$1:B239, $AB$1:AB239, 0, 0, -1) * 0.9 + P240 * 0.1, 0), ""))</f>
        <v>512</v>
      </c>
      <c r="AC240" t="s">
        <v>1075</v>
      </c>
    </row>
    <row r="241" spans="1:29" x14ac:dyDescent="0.2">
      <c r="A241" t="s">
        <v>201</v>
      </c>
      <c r="B241" t="s">
        <v>202</v>
      </c>
      <c r="C241" t="s">
        <v>145</v>
      </c>
      <c r="D241" t="s">
        <v>203</v>
      </c>
      <c r="E241" t="s">
        <v>204</v>
      </c>
      <c r="F241" t="s">
        <v>173</v>
      </c>
      <c r="G241" t="s">
        <v>205</v>
      </c>
      <c r="H241" t="s">
        <v>77</v>
      </c>
      <c r="I241" s="2">
        <v>46136</v>
      </c>
      <c r="J241" t="s">
        <v>704</v>
      </c>
      <c r="K241" t="s">
        <v>904</v>
      </c>
      <c r="L241" t="s">
        <v>62</v>
      </c>
      <c r="M241" t="s">
        <v>1032</v>
      </c>
      <c r="N241" t="s">
        <v>1028</v>
      </c>
      <c r="O241" t="s">
        <v>218</v>
      </c>
      <c r="P241" t="s">
        <v>219</v>
      </c>
      <c r="Q241" t="s">
        <v>42</v>
      </c>
      <c r="R241" t="s">
        <v>43</v>
      </c>
      <c r="S241" t="s">
        <v>44</v>
      </c>
      <c r="T241" t="s">
        <v>210</v>
      </c>
      <c r="U241" t="s">
        <v>68</v>
      </c>
      <c r="V241" s="2">
        <v>44974</v>
      </c>
      <c r="W241" t="s">
        <v>48</v>
      </c>
      <c r="X241" t="s">
        <v>49</v>
      </c>
      <c r="Y241" t="s">
        <v>69</v>
      </c>
      <c r="Z241" t="s">
        <v>51</v>
      </c>
      <c r="AA241" t="s">
        <v>52</v>
      </c>
      <c r="AB241" cm="1">
        <f t="array" ref="AB241">IF(OR(COUNTIF(K241, "*FAC.C*")&gt;0, COUNTIF(J241, "*チャージ*")&gt;0, COUNTIF(J241, "*ギフト*")&gt;0), IFERROR(_xlfn.XLOOKUP(B241, $B$1:B240, $AB$1:AB240, 0, 0, -1), 0), IFERROR(ROUND(_xlfn.XLOOKUP(B241, $B$1:B240, $AB$1:AB240, 0, 0, -1) * 0.9 + P241 * 0.1, 0), ""))</f>
        <v>963</v>
      </c>
      <c r="AC241" t="s">
        <v>85</v>
      </c>
    </row>
    <row r="242" spans="1:29" x14ac:dyDescent="0.2">
      <c r="A242" t="s">
        <v>211</v>
      </c>
      <c r="B242" t="s">
        <v>212</v>
      </c>
      <c r="C242">
        <v>3</v>
      </c>
      <c r="D242" t="s">
        <v>213</v>
      </c>
      <c r="E242" t="s">
        <v>147</v>
      </c>
      <c r="F242">
        <v>2</v>
      </c>
      <c r="G242" t="s">
        <v>214</v>
      </c>
      <c r="H242" t="s">
        <v>59</v>
      </c>
      <c r="I242" s="2">
        <v>46137</v>
      </c>
      <c r="J242" t="s">
        <v>78</v>
      </c>
      <c r="K242" t="s">
        <v>906</v>
      </c>
      <c r="L242" t="s">
        <v>125</v>
      </c>
      <c r="M242" t="s">
        <v>1036</v>
      </c>
      <c r="N242" t="s">
        <v>1028</v>
      </c>
      <c r="O242" t="s">
        <v>94</v>
      </c>
      <c r="P242" t="s">
        <v>95</v>
      </c>
      <c r="Q242" t="s">
        <v>42</v>
      </c>
      <c r="R242" t="s">
        <v>43</v>
      </c>
      <c r="S242" t="s">
        <v>44</v>
      </c>
      <c r="T242" t="s">
        <v>220</v>
      </c>
      <c r="U242" t="s">
        <v>200</v>
      </c>
      <c r="V242" s="2">
        <v>41971</v>
      </c>
      <c r="W242" t="s">
        <v>48</v>
      </c>
      <c r="X242" t="s">
        <v>49</v>
      </c>
      <c r="Y242" t="s">
        <v>82</v>
      </c>
      <c r="Z242" t="s">
        <v>51</v>
      </c>
      <c r="AA242" t="s">
        <v>52</v>
      </c>
      <c r="AB242" cm="1">
        <f t="array" ref="AB242">IF(OR(COUNTIF(K242, "*FAC.C*")&gt;0, COUNTIF(J242, "*チャージ*")&gt;0, COUNTIF(J242, "*ギフト*")&gt;0), IFERROR(_xlfn.XLOOKUP(B242, $B$1:B241, $AB$1:AB241, 0, 0, -1), 0), IFERROR(ROUND(_xlfn.XLOOKUP(B242, $B$1:B241, $AB$1:AB241, 0, 0, -1) * 0.9 + P242 * 0.1, 0), ""))</f>
        <v>3015</v>
      </c>
      <c r="AC242" t="s">
        <v>53</v>
      </c>
    </row>
    <row r="243" spans="1:29" x14ac:dyDescent="0.2">
      <c r="A243" t="s">
        <v>222</v>
      </c>
      <c r="B243" t="s">
        <v>223</v>
      </c>
      <c r="C243" t="s">
        <v>173</v>
      </c>
      <c r="D243" t="s">
        <v>224</v>
      </c>
      <c r="E243" t="s">
        <v>147</v>
      </c>
      <c r="F243">
        <v>1</v>
      </c>
      <c r="G243" t="s">
        <v>225</v>
      </c>
      <c r="H243" t="s">
        <v>59</v>
      </c>
      <c r="I243" s="2">
        <v>46137</v>
      </c>
      <c r="J243" t="s">
        <v>711</v>
      </c>
      <c r="K243" t="s">
        <v>907</v>
      </c>
      <c r="L243" t="s">
        <v>137</v>
      </c>
      <c r="M243" t="s">
        <v>63</v>
      </c>
      <c r="N243" t="s">
        <v>64</v>
      </c>
      <c r="O243" t="s">
        <v>65</v>
      </c>
      <c r="P243" t="s">
        <v>66</v>
      </c>
      <c r="Q243" t="s">
        <v>42</v>
      </c>
      <c r="R243" t="s">
        <v>43</v>
      </c>
      <c r="S243" t="s">
        <v>44</v>
      </c>
      <c r="T243" t="s">
        <v>229</v>
      </c>
      <c r="U243" t="s">
        <v>221</v>
      </c>
      <c r="V243" s="2">
        <v>46137</v>
      </c>
      <c r="W243" t="s">
        <v>48</v>
      </c>
      <c r="X243" t="s">
        <v>49</v>
      </c>
      <c r="Y243" t="s">
        <v>142</v>
      </c>
      <c r="Z243">
        <v>13</v>
      </c>
      <c r="AA243" t="s">
        <v>84</v>
      </c>
      <c r="AB243" cm="1">
        <f t="array" ref="AB243">IF(OR(COUNTIF(K243, "*FAC.C*")&gt;0, COUNTIF(J243, "*チャージ*")&gt;0, COUNTIF(J243, "*ギフト*")&gt;0), IFERROR(_xlfn.XLOOKUP(B243, $B$1:B242, $AB$1:AB242, 0, 0, -1), 0), IFERROR(ROUND(_xlfn.XLOOKUP(B243, $B$1:B242, $AB$1:AB242, 0, 0, -1) * 0.9 + P243 * 0.1, 0), ""))</f>
        <v>2943</v>
      </c>
      <c r="AC243" t="s">
        <v>85</v>
      </c>
    </row>
    <row r="244" spans="1:29" x14ac:dyDescent="0.2">
      <c r="A244" t="s">
        <v>230</v>
      </c>
      <c r="B244" t="s">
        <v>231</v>
      </c>
      <c r="C244" t="s">
        <v>173</v>
      </c>
      <c r="D244" t="s">
        <v>232</v>
      </c>
      <c r="E244" t="s">
        <v>233</v>
      </c>
      <c r="F244" t="s">
        <v>145</v>
      </c>
      <c r="G244" t="s">
        <v>234</v>
      </c>
      <c r="H244" t="s">
        <v>34</v>
      </c>
      <c r="I244" s="2">
        <v>46137</v>
      </c>
      <c r="J244" t="s">
        <v>556</v>
      </c>
      <c r="K244" t="s">
        <v>752</v>
      </c>
      <c r="L244" t="s">
        <v>37</v>
      </c>
      <c r="M244" t="s">
        <v>1081</v>
      </c>
      <c r="N244" t="s">
        <v>115</v>
      </c>
      <c r="O244" t="s">
        <v>867</v>
      </c>
      <c r="P244" t="s">
        <v>198</v>
      </c>
      <c r="S244" t="s">
        <v>44</v>
      </c>
      <c r="T244" t="s">
        <v>239</v>
      </c>
      <c r="U244" t="s">
        <v>200</v>
      </c>
      <c r="V244" s="2">
        <v>45052</v>
      </c>
      <c r="W244" t="s">
        <v>48</v>
      </c>
      <c r="X244" t="s">
        <v>49</v>
      </c>
      <c r="Y244" t="s">
        <v>50</v>
      </c>
      <c r="Z244">
        <v>15</v>
      </c>
      <c r="AA244" t="s">
        <v>84</v>
      </c>
      <c r="AB244" cm="1">
        <f t="array" ref="AB244">IF(OR(COUNTIF(K244, "*FAC.C*")&gt;0, COUNTIF(J244, "*チャージ*")&gt;0, COUNTIF(J244, "*ギフト*")&gt;0), IFERROR(_xlfn.XLOOKUP(B244, $B$1:B243, $AB$1:AB243, 0, 0, -1), 0), IFERROR(ROUND(_xlfn.XLOOKUP(B244, $B$1:B243, $AB$1:AB243, 0, 0, -1) * 0.9 + P244 * 0.1, 0), ""))</f>
        <v>561</v>
      </c>
      <c r="AC244" t="s">
        <v>53</v>
      </c>
    </row>
    <row r="245" spans="1:29" x14ac:dyDescent="0.2">
      <c r="A245" t="s">
        <v>240</v>
      </c>
      <c r="B245" t="s">
        <v>241</v>
      </c>
      <c r="C245" t="s">
        <v>29</v>
      </c>
      <c r="D245" t="s">
        <v>88</v>
      </c>
      <c r="E245" t="s">
        <v>154</v>
      </c>
      <c r="F245" t="s">
        <v>29</v>
      </c>
      <c r="G245" t="s">
        <v>242</v>
      </c>
      <c r="H245" t="s">
        <v>77</v>
      </c>
      <c r="I245" s="2">
        <v>46137</v>
      </c>
      <c r="J245" t="s">
        <v>562</v>
      </c>
      <c r="K245" t="s">
        <v>908</v>
      </c>
      <c r="L245" t="s">
        <v>62</v>
      </c>
      <c r="M245" t="s">
        <v>217</v>
      </c>
      <c r="N245" t="s">
        <v>115</v>
      </c>
      <c r="O245" t="s">
        <v>488</v>
      </c>
      <c r="P245" t="s">
        <v>41</v>
      </c>
      <c r="Q245" t="s">
        <v>42</v>
      </c>
      <c r="R245" t="s">
        <v>43</v>
      </c>
      <c r="S245" t="s">
        <v>44</v>
      </c>
      <c r="T245" t="s">
        <v>96</v>
      </c>
      <c r="U245" t="s">
        <v>200</v>
      </c>
      <c r="V245" t="s">
        <v>895</v>
      </c>
      <c r="W245" t="s">
        <v>48</v>
      </c>
      <c r="X245" t="s">
        <v>49</v>
      </c>
      <c r="Y245" t="s">
        <v>69</v>
      </c>
      <c r="Z245">
        <v>14</v>
      </c>
      <c r="AA245" t="s">
        <v>107</v>
      </c>
      <c r="AB245" cm="1">
        <f t="array" ref="AB245">IF(OR(COUNTIF(K245, "*FAC.C*")&gt;0, COUNTIF(J245, "*チャージ*")&gt;0, COUNTIF(J245, "*ギフト*")&gt;0), IFERROR(_xlfn.XLOOKUP(B245, $B$1:B244, $AB$1:AB244, 0, 0, -1), 0), IFERROR(ROUND(_xlfn.XLOOKUP(B245, $B$1:B244, $AB$1:AB244, 0, 0, -1) * 0.9 + P245 * 0.1, 0), ""))</f>
        <v>6940</v>
      </c>
      <c r="AC245" t="s">
        <v>85</v>
      </c>
    </row>
    <row r="246" spans="1:29" x14ac:dyDescent="0.2">
      <c r="A246" t="s">
        <v>245</v>
      </c>
      <c r="B246" t="s">
        <v>246</v>
      </c>
      <c r="C246" t="s">
        <v>145</v>
      </c>
      <c r="D246" t="s">
        <v>100</v>
      </c>
      <c r="E246" t="s">
        <v>247</v>
      </c>
      <c r="F246" t="s">
        <v>32</v>
      </c>
      <c r="G246" t="s">
        <v>248</v>
      </c>
      <c r="H246" t="s">
        <v>134</v>
      </c>
      <c r="I246" s="2">
        <v>46137</v>
      </c>
      <c r="J246" s="1">
        <v>0.96193287037037034</v>
      </c>
      <c r="K246" t="s">
        <v>909</v>
      </c>
      <c r="L246" t="s">
        <v>1126</v>
      </c>
      <c r="M246" t="s">
        <v>434</v>
      </c>
      <c r="N246" t="s">
        <v>115</v>
      </c>
      <c r="O246" t="s">
        <v>1175</v>
      </c>
      <c r="P246">
        <v>120</v>
      </c>
      <c r="Q246" t="s">
        <v>42</v>
      </c>
      <c r="R246" t="s">
        <v>43</v>
      </c>
      <c r="S246" t="s">
        <v>44</v>
      </c>
      <c r="T246" t="s">
        <v>106</v>
      </c>
      <c r="U246" t="s">
        <v>1179</v>
      </c>
      <c r="V246" s="2">
        <v>45393</v>
      </c>
      <c r="W246" t="s">
        <v>48</v>
      </c>
      <c r="X246" t="s">
        <v>49</v>
      </c>
      <c r="Y246">
        <v>352811</v>
      </c>
      <c r="Z246">
        <v>15</v>
      </c>
      <c r="AA246" t="s">
        <v>84</v>
      </c>
      <c r="AB246" cm="1">
        <f t="array" ref="AB246">IF(OR(COUNTIF(K246, "*FAC.C*")&gt;0, COUNTIF(J246, "*チャージ*")&gt;0, COUNTIF(J246, "*ギフト*")&gt;0), IFERROR(_xlfn.XLOOKUP(B246, $B$1:B245, $AB$1:AB245, 0, 0, -1), 0), IFERROR(ROUND(_xlfn.XLOOKUP(B246, $B$1:B245, $AB$1:AB245, 0, 0, -1) * 0.9 + P246 * 0.1, 0), ""))</f>
        <v>363</v>
      </c>
      <c r="AC246" t="s">
        <v>53</v>
      </c>
    </row>
    <row r="247" spans="1:29" x14ac:dyDescent="0.2">
      <c r="A247" t="s">
        <v>252</v>
      </c>
      <c r="B247" t="s">
        <v>253</v>
      </c>
      <c r="C247" t="s">
        <v>32</v>
      </c>
      <c r="D247" t="s">
        <v>254</v>
      </c>
      <c r="E247" t="s">
        <v>255</v>
      </c>
      <c r="F247" t="s">
        <v>173</v>
      </c>
      <c r="G247" t="s">
        <v>256</v>
      </c>
      <c r="H247" t="s">
        <v>59</v>
      </c>
      <c r="I247" s="2">
        <v>46137</v>
      </c>
      <c r="J247" t="s">
        <v>574</v>
      </c>
      <c r="K247" t="s">
        <v>910</v>
      </c>
      <c r="L247" t="s">
        <v>62</v>
      </c>
      <c r="M247" t="s">
        <v>114</v>
      </c>
      <c r="N247" t="s">
        <v>1025</v>
      </c>
      <c r="O247" t="s">
        <v>666</v>
      </c>
      <c r="P247" t="s">
        <v>41</v>
      </c>
      <c r="Q247" t="s">
        <v>42</v>
      </c>
      <c r="R247" t="s">
        <v>43</v>
      </c>
      <c r="S247" t="s">
        <v>44</v>
      </c>
      <c r="T247" t="s">
        <v>1024</v>
      </c>
      <c r="U247" t="s">
        <v>68</v>
      </c>
      <c r="V247" s="2">
        <v>44180</v>
      </c>
      <c r="W247" t="s">
        <v>48</v>
      </c>
      <c r="X247" t="s">
        <v>49</v>
      </c>
      <c r="Y247" t="s">
        <v>69</v>
      </c>
      <c r="Z247" t="s">
        <v>70</v>
      </c>
      <c r="AA247" t="s">
        <v>128</v>
      </c>
      <c r="AB247" cm="1">
        <f t="array" ref="AB247">IF(OR(COUNTIF(K247, "*FAC.C*")&gt;0, COUNTIF(J247, "*チャージ*")&gt;0, COUNTIF(J247, "*ギフト*")&gt;0), IFERROR(_xlfn.XLOOKUP(B247, $B$1:B246, $AB$1:AB246, 0, 0, -1), 0), IFERROR(ROUND(_xlfn.XLOOKUP(B247, $B$1:B246, $AB$1:AB246, 0, 0, -1) * 0.9 + P247 * 0.1, 0), ""))</f>
        <v>6082</v>
      </c>
      <c r="AC247" t="s">
        <v>1009</v>
      </c>
    </row>
    <row r="248" spans="1:29" x14ac:dyDescent="0.2">
      <c r="A248" t="s">
        <v>261</v>
      </c>
      <c r="B248" t="s">
        <v>262</v>
      </c>
      <c r="C248" t="s">
        <v>32</v>
      </c>
      <c r="D248" t="s">
        <v>263</v>
      </c>
      <c r="E248" t="s">
        <v>204</v>
      </c>
      <c r="F248" t="s">
        <v>29</v>
      </c>
      <c r="G248" t="s">
        <v>264</v>
      </c>
      <c r="H248" t="s">
        <v>34</v>
      </c>
      <c r="I248" s="2">
        <v>46137</v>
      </c>
      <c r="J248" t="s">
        <v>581</v>
      </c>
      <c r="K248" t="s">
        <v>911</v>
      </c>
      <c r="L248" t="s">
        <v>1126</v>
      </c>
      <c r="M248" t="s">
        <v>1076</v>
      </c>
      <c r="N248" t="s">
        <v>115</v>
      </c>
      <c r="O248" t="s">
        <v>1132</v>
      </c>
      <c r="P248">
        <v>160</v>
      </c>
      <c r="Q248" t="s">
        <v>42</v>
      </c>
      <c r="R248" t="s">
        <v>43</v>
      </c>
      <c r="S248" t="s">
        <v>44</v>
      </c>
      <c r="T248" t="s">
        <v>266</v>
      </c>
      <c r="U248" t="s">
        <v>1131</v>
      </c>
      <c r="V248" s="2">
        <v>44941</v>
      </c>
      <c r="W248" t="s">
        <v>48</v>
      </c>
      <c r="X248" t="s">
        <v>49</v>
      </c>
      <c r="Y248" t="s">
        <v>50</v>
      </c>
      <c r="Z248">
        <v>160</v>
      </c>
      <c r="AA248" t="s">
        <v>52</v>
      </c>
      <c r="AB248" cm="1">
        <f t="array" ref="AB248">IF(OR(COUNTIF(K248, "*FAC.C*")&gt;0, COUNTIF(J248, "*チャージ*")&gt;0, COUNTIF(J248, "*ギフト*")&gt;0), IFERROR(_xlfn.XLOOKUP(B248, $B$1:B247, $AB$1:AB247, 0, 0, -1), 0), IFERROR(ROUND(_xlfn.XLOOKUP(B248, $B$1:B247, $AB$1:AB247, 0, 0, -1) * 0.9 + P248 * 0.1, 0), ""))</f>
        <v>43</v>
      </c>
      <c r="AC248" t="s">
        <v>53</v>
      </c>
    </row>
    <row r="249" spans="1:29" x14ac:dyDescent="0.2">
      <c r="A249" t="s">
        <v>267</v>
      </c>
      <c r="B249" t="s">
        <v>268</v>
      </c>
      <c r="C249" t="s">
        <v>32</v>
      </c>
      <c r="D249" t="s">
        <v>88</v>
      </c>
      <c r="E249" t="s">
        <v>154</v>
      </c>
      <c r="F249" t="s">
        <v>29</v>
      </c>
      <c r="G249" t="s">
        <v>269</v>
      </c>
      <c r="H249" t="s">
        <v>34</v>
      </c>
      <c r="I249" s="2">
        <v>46137</v>
      </c>
      <c r="J249" t="s">
        <v>590</v>
      </c>
      <c r="K249" t="s">
        <v>912</v>
      </c>
      <c r="L249" t="s">
        <v>137</v>
      </c>
      <c r="M249" t="s">
        <v>104</v>
      </c>
      <c r="N249" t="s">
        <v>39</v>
      </c>
      <c r="O249" t="s">
        <v>496</v>
      </c>
      <c r="P249" t="s">
        <v>497</v>
      </c>
      <c r="Q249" t="s">
        <v>42</v>
      </c>
      <c r="R249" t="s">
        <v>43</v>
      </c>
      <c r="S249" t="s">
        <v>44</v>
      </c>
      <c r="T249" t="s">
        <v>96</v>
      </c>
      <c r="U249" t="s">
        <v>46</v>
      </c>
      <c r="V249" t="s">
        <v>895</v>
      </c>
      <c r="W249" t="s">
        <v>48</v>
      </c>
      <c r="X249" t="s">
        <v>49</v>
      </c>
      <c r="Y249" t="s">
        <v>142</v>
      </c>
      <c r="Z249" t="s">
        <v>51</v>
      </c>
      <c r="AA249" t="s">
        <v>107</v>
      </c>
      <c r="AB249" cm="1">
        <f t="array" ref="AB249">IF(OR(COUNTIF(K249, "*FAC.C*")&gt;0, COUNTIF(J249, "*チャージ*")&gt;0, COUNTIF(J249, "*ギフト*")&gt;0), IFERROR(_xlfn.XLOOKUP(B249, $B$1:B248, $AB$1:AB248, 0, 0, -1), 0), IFERROR(ROUND(_xlfn.XLOOKUP(B249, $B$1:B248, $AB$1:AB248, 0, 0, -1) * 0.9 + P249 * 0.1, 0), ""))</f>
        <v>4497</v>
      </c>
      <c r="AC249" t="s">
        <v>85</v>
      </c>
    </row>
    <row r="250" spans="1:29" x14ac:dyDescent="0.2">
      <c r="A250" t="s">
        <v>274</v>
      </c>
      <c r="B250" t="s">
        <v>275</v>
      </c>
      <c r="C250" t="s">
        <v>173</v>
      </c>
      <c r="D250" t="s">
        <v>276</v>
      </c>
      <c r="E250" t="s">
        <v>89</v>
      </c>
      <c r="F250" t="s">
        <v>173</v>
      </c>
      <c r="G250" t="s">
        <v>277</v>
      </c>
      <c r="H250" t="s">
        <v>134</v>
      </c>
      <c r="I250" s="2">
        <v>46137</v>
      </c>
      <c r="J250" s="1">
        <v>0.37166666666666665</v>
      </c>
      <c r="K250" t="s">
        <v>913</v>
      </c>
      <c r="L250" t="s">
        <v>125</v>
      </c>
      <c r="M250" t="s">
        <v>1036</v>
      </c>
      <c r="N250" t="s">
        <v>1182</v>
      </c>
      <c r="O250" t="s">
        <v>1203</v>
      </c>
      <c r="P250">
        <v>320</v>
      </c>
      <c r="Q250" t="s">
        <v>279</v>
      </c>
      <c r="R250" t="s">
        <v>43</v>
      </c>
      <c r="S250" t="s">
        <v>44</v>
      </c>
      <c r="T250" t="s">
        <v>1206</v>
      </c>
      <c r="U250" t="s">
        <v>1207</v>
      </c>
      <c r="V250" s="2">
        <v>44138</v>
      </c>
      <c r="W250" t="s">
        <v>48</v>
      </c>
      <c r="X250">
        <v>1</v>
      </c>
      <c r="Y250" t="s">
        <v>82</v>
      </c>
      <c r="Z250" t="s">
        <v>70</v>
      </c>
      <c r="AA250" t="s">
        <v>128</v>
      </c>
      <c r="AB250" cm="1">
        <f t="array" ref="AB250">IF(OR(COUNTIF(K250, "*FAC.C*")&gt;0, COUNTIF(J250, "*チャージ*")&gt;0, COUNTIF(J250, "*ギフト*")&gt;0), IFERROR(_xlfn.XLOOKUP(B250, $B$1:B249, $AB$1:AB249, 0, 0, -1), 0), IFERROR(ROUND(_xlfn.XLOOKUP(B250, $B$1:B249, $AB$1:AB249, 0, 0, -1) * 0.9 + P250 * 0.1, 0), ""))</f>
        <v>519</v>
      </c>
      <c r="AC250" t="s">
        <v>1192</v>
      </c>
    </row>
    <row r="251" spans="1:29" x14ac:dyDescent="0.2">
      <c r="A251" t="s">
        <v>281</v>
      </c>
      <c r="B251" t="s">
        <v>282</v>
      </c>
      <c r="C251" t="s">
        <v>173</v>
      </c>
      <c r="D251" t="s">
        <v>283</v>
      </c>
      <c r="E251" t="s">
        <v>284</v>
      </c>
      <c r="F251" t="s">
        <v>145</v>
      </c>
      <c r="G251" s="3">
        <v>359150071234560</v>
      </c>
      <c r="H251" t="s">
        <v>59</v>
      </c>
      <c r="I251" s="2">
        <v>46137</v>
      </c>
      <c r="J251" t="s">
        <v>600</v>
      </c>
      <c r="K251" t="s">
        <v>914</v>
      </c>
      <c r="L251" t="s">
        <v>113</v>
      </c>
      <c r="P251">
        <v>30000</v>
      </c>
      <c r="Q251" t="s">
        <v>42</v>
      </c>
      <c r="R251" t="s">
        <v>43</v>
      </c>
      <c r="S251" t="s">
        <v>44</v>
      </c>
      <c r="T251" t="s">
        <v>288</v>
      </c>
      <c r="U251" t="s">
        <v>221</v>
      </c>
      <c r="W251" t="s">
        <v>48</v>
      </c>
      <c r="X251" t="s">
        <v>49</v>
      </c>
      <c r="Z251" t="s">
        <v>70</v>
      </c>
      <c r="AA251" t="s">
        <v>1026</v>
      </c>
      <c r="AB251">
        <v>24490</v>
      </c>
      <c r="AC251" t="s">
        <v>53</v>
      </c>
    </row>
    <row r="252" spans="1:29" x14ac:dyDescent="0.2">
      <c r="A252" t="s">
        <v>267</v>
      </c>
      <c r="B252" t="s">
        <v>268</v>
      </c>
      <c r="C252" t="s">
        <v>32</v>
      </c>
      <c r="D252" t="s">
        <v>88</v>
      </c>
      <c r="E252" t="s">
        <v>154</v>
      </c>
      <c r="F252" t="s">
        <v>29</v>
      </c>
      <c r="G252" t="s">
        <v>269</v>
      </c>
      <c r="H252" t="s">
        <v>34</v>
      </c>
      <c r="I252" s="2">
        <v>46138</v>
      </c>
      <c r="J252" t="s">
        <v>607</v>
      </c>
      <c r="K252" t="s">
        <v>916</v>
      </c>
      <c r="L252" t="s">
        <v>37</v>
      </c>
      <c r="M252" t="s">
        <v>158</v>
      </c>
      <c r="N252" t="s">
        <v>115</v>
      </c>
      <c r="O252" t="s">
        <v>319</v>
      </c>
      <c r="P252" t="s">
        <v>41</v>
      </c>
      <c r="Q252" t="s">
        <v>42</v>
      </c>
      <c r="R252" t="s">
        <v>43</v>
      </c>
      <c r="S252" t="s">
        <v>44</v>
      </c>
      <c r="T252" t="s">
        <v>96</v>
      </c>
      <c r="U252" t="s">
        <v>97</v>
      </c>
      <c r="V252" t="s">
        <v>905</v>
      </c>
      <c r="W252" t="s">
        <v>48</v>
      </c>
      <c r="X252" t="s">
        <v>49</v>
      </c>
      <c r="Y252" t="s">
        <v>50</v>
      </c>
      <c r="Z252" t="s">
        <v>51</v>
      </c>
      <c r="AA252" t="s">
        <v>107</v>
      </c>
      <c r="AB252" cm="1">
        <f t="array" ref="AB252">IF(OR(COUNTIF(K252, "*FAC.C*")&gt;0, COUNTIF(J252, "*チャージ*")&gt;0, COUNTIF(J252, "*ギフト*")&gt;0), IFERROR(_xlfn.XLOOKUP(B252, $B$1:B251, $AB$1:AB251, 0, 0, -1), 0), IFERROR(ROUND(_xlfn.XLOOKUP(B252, $B$1:B251, $AB$1:AB251, 0, 0, -1) * 0.9 + P252 * 0.1, 0), ""))</f>
        <v>5047</v>
      </c>
      <c r="AC252" t="s">
        <v>85</v>
      </c>
    </row>
    <row r="253" spans="1:29" x14ac:dyDescent="0.2">
      <c r="A253" t="s">
        <v>274</v>
      </c>
      <c r="B253" t="s">
        <v>275</v>
      </c>
      <c r="C253" t="s">
        <v>173</v>
      </c>
      <c r="D253" t="s">
        <v>276</v>
      </c>
      <c r="E253" t="s">
        <v>89</v>
      </c>
      <c r="F253" t="s">
        <v>173</v>
      </c>
      <c r="G253" t="s">
        <v>277</v>
      </c>
      <c r="H253" t="s">
        <v>134</v>
      </c>
      <c r="I253" s="2">
        <v>46138</v>
      </c>
      <c r="J253" s="1">
        <v>0.53175925925925926</v>
      </c>
      <c r="K253" t="s">
        <v>917</v>
      </c>
      <c r="L253" t="s">
        <v>125</v>
      </c>
      <c r="M253" t="s">
        <v>1036</v>
      </c>
      <c r="N253" t="s">
        <v>1182</v>
      </c>
      <c r="O253" t="s">
        <v>1202</v>
      </c>
      <c r="P253">
        <v>800</v>
      </c>
      <c r="Q253" t="s">
        <v>279</v>
      </c>
      <c r="R253" t="s">
        <v>43</v>
      </c>
      <c r="S253" t="s">
        <v>44</v>
      </c>
      <c r="T253" t="s">
        <v>1206</v>
      </c>
      <c r="U253" t="s">
        <v>1207</v>
      </c>
      <c r="V253" s="2">
        <v>44138</v>
      </c>
      <c r="W253" t="s">
        <v>48</v>
      </c>
      <c r="X253">
        <v>1</v>
      </c>
      <c r="Y253" t="s">
        <v>82</v>
      </c>
      <c r="Z253" t="s">
        <v>70</v>
      </c>
      <c r="AA253" t="s">
        <v>128</v>
      </c>
      <c r="AB253" cm="1">
        <f t="array" ref="AB253">IF(OR(COUNTIF(K253, "*FAC.C*")&gt;0, COUNTIF(J253, "*チャージ*")&gt;0, COUNTIF(J253, "*ギフト*")&gt;0), IFERROR(_xlfn.XLOOKUP(B253, $B$1:B252, $AB$1:AB252, 0, 0, -1), 0), IFERROR(ROUND(_xlfn.XLOOKUP(B253, $B$1:B252, $AB$1:AB252, 0, 0, -1) * 0.9 + P253 * 0.1, 0), ""))</f>
        <v>547</v>
      </c>
      <c r="AC253" t="s">
        <v>1192</v>
      </c>
    </row>
    <row r="254" spans="1:29" x14ac:dyDescent="0.2">
      <c r="A254" t="s">
        <v>281</v>
      </c>
      <c r="B254" t="s">
        <v>282</v>
      </c>
      <c r="C254" t="s">
        <v>173</v>
      </c>
      <c r="D254" t="s">
        <v>283</v>
      </c>
      <c r="E254" t="s">
        <v>284</v>
      </c>
      <c r="F254" t="s">
        <v>145</v>
      </c>
      <c r="G254" s="3">
        <v>359150071234560</v>
      </c>
      <c r="H254" t="s">
        <v>59</v>
      </c>
      <c r="I254" s="2">
        <v>46138</v>
      </c>
      <c r="J254" t="s">
        <v>620</v>
      </c>
      <c r="K254" t="s">
        <v>918</v>
      </c>
      <c r="L254" t="s">
        <v>113</v>
      </c>
      <c r="M254" t="s">
        <v>114</v>
      </c>
      <c r="N254" t="s">
        <v>1025</v>
      </c>
      <c r="O254" t="s">
        <v>666</v>
      </c>
      <c r="P254" t="s">
        <v>41</v>
      </c>
      <c r="Q254" t="s">
        <v>42</v>
      </c>
      <c r="R254" t="s">
        <v>43</v>
      </c>
      <c r="S254" t="s">
        <v>44</v>
      </c>
      <c r="T254" t="s">
        <v>288</v>
      </c>
      <c r="U254" t="s">
        <v>46</v>
      </c>
      <c r="V254" s="2">
        <v>43860</v>
      </c>
      <c r="W254" t="s">
        <v>48</v>
      </c>
      <c r="X254" t="s">
        <v>49</v>
      </c>
      <c r="Z254" t="s">
        <v>70</v>
      </c>
      <c r="AA254" t="s">
        <v>1026</v>
      </c>
      <c r="AB254" cm="1">
        <f t="array" ref="AB254">IF(OR(COUNTIF(K254, "*FAC.C*")&gt;0, COUNTIF(J254, "*チャージ*")&gt;0, COUNTIF(J254, "*ギフト*")&gt;0), IFERROR(_xlfn.XLOOKUP(B254, $B$1:B253, $AB$1:AB253, 0, 0, -1), 0), IFERROR(ROUND(_xlfn.XLOOKUP(B254, $B$1:B253, $AB$1:AB253, 0, 0, -1) * 0.9 + P254 * 0.1, 0), ""))</f>
        <v>23041</v>
      </c>
      <c r="AC254" t="s">
        <v>53</v>
      </c>
    </row>
    <row r="255" spans="1:29" x14ac:dyDescent="0.2">
      <c r="A255" t="s">
        <v>289</v>
      </c>
      <c r="B255" t="s">
        <v>290</v>
      </c>
      <c r="C255" t="s">
        <v>145</v>
      </c>
      <c r="D255" t="s">
        <v>291</v>
      </c>
      <c r="E255" t="s">
        <v>292</v>
      </c>
      <c r="F255" t="s">
        <v>29</v>
      </c>
      <c r="G255" t="s">
        <v>293</v>
      </c>
      <c r="H255" t="s">
        <v>59</v>
      </c>
      <c r="I255" s="2">
        <v>46138</v>
      </c>
      <c r="J255" s="1">
        <v>0.52803240740740742</v>
      </c>
      <c r="K255" t="s">
        <v>919</v>
      </c>
      <c r="L255" t="s">
        <v>1190</v>
      </c>
      <c r="M255" t="s">
        <v>38</v>
      </c>
      <c r="N255" t="s">
        <v>1182</v>
      </c>
      <c r="O255" t="s">
        <v>1191</v>
      </c>
      <c r="P255">
        <v>1000</v>
      </c>
      <c r="Q255" t="s">
        <v>42</v>
      </c>
      <c r="R255" t="s">
        <v>43</v>
      </c>
      <c r="S255" t="s">
        <v>44</v>
      </c>
      <c r="T255" t="s">
        <v>1195</v>
      </c>
      <c r="U255" t="s">
        <v>1193</v>
      </c>
      <c r="V255" s="2">
        <v>41731</v>
      </c>
      <c r="W255" t="s">
        <v>48</v>
      </c>
      <c r="X255" t="s">
        <v>49</v>
      </c>
      <c r="Z255">
        <v>16</v>
      </c>
      <c r="AA255" t="s">
        <v>128</v>
      </c>
      <c r="AB255" cm="1">
        <f t="array" ref="AB255">IF(OR(COUNTIF(K255, "*FAC.C*")&gt;0, COUNTIF(J255, "*チャージ*")&gt;0, COUNTIF(J255, "*ギフト*")&gt;0), IFERROR(_xlfn.XLOOKUP(B255, $B$1:B254, $AB$1:AB254, 0, 0, -1), 0), IFERROR(ROUND(_xlfn.XLOOKUP(B255, $B$1:B254, $AB$1:AB254, 0, 0, -1) * 0.9 + P255 * 0.1, 0), ""))</f>
        <v>1000</v>
      </c>
      <c r="AC255" t="s">
        <v>1192</v>
      </c>
    </row>
    <row r="256" spans="1:29" x14ac:dyDescent="0.2">
      <c r="A256" t="s">
        <v>298</v>
      </c>
      <c r="B256" t="s">
        <v>299</v>
      </c>
      <c r="C256" t="s">
        <v>29</v>
      </c>
      <c r="D256" t="s">
        <v>300</v>
      </c>
      <c r="E256" t="s">
        <v>89</v>
      </c>
      <c r="F256" t="s">
        <v>29</v>
      </c>
      <c r="G256" t="s">
        <v>301</v>
      </c>
      <c r="H256" t="s">
        <v>59</v>
      </c>
      <c r="I256" s="2">
        <v>46138</v>
      </c>
      <c r="J256" t="s">
        <v>633</v>
      </c>
      <c r="K256" t="s">
        <v>920</v>
      </c>
      <c r="L256" t="s">
        <v>125</v>
      </c>
      <c r="M256" t="s">
        <v>250</v>
      </c>
      <c r="N256" t="s">
        <v>115</v>
      </c>
      <c r="O256" t="s">
        <v>251</v>
      </c>
      <c r="P256" t="s">
        <v>41</v>
      </c>
      <c r="Q256" t="s">
        <v>42</v>
      </c>
      <c r="R256" t="s">
        <v>43</v>
      </c>
      <c r="S256" t="s">
        <v>44</v>
      </c>
      <c r="T256" t="s">
        <v>305</v>
      </c>
      <c r="U256" t="s">
        <v>200</v>
      </c>
      <c r="V256" t="s">
        <v>812</v>
      </c>
      <c r="W256" t="s">
        <v>48</v>
      </c>
      <c r="X256" t="s">
        <v>49</v>
      </c>
      <c r="Y256" t="s">
        <v>82</v>
      </c>
      <c r="Z256" t="s">
        <v>83</v>
      </c>
      <c r="AA256" t="s">
        <v>84</v>
      </c>
      <c r="AB256" cm="1">
        <f t="array" ref="AB256">IF(OR(COUNTIF(K256, "*FAC.C*")&gt;0, COUNTIF(J256, "*チャージ*")&gt;0, COUNTIF(J256, "*ギフト*")&gt;0), IFERROR(_xlfn.XLOOKUP(B256, $B$1:B255, $AB$1:AB255, 0, 0, -1), 0), IFERROR(ROUND(_xlfn.XLOOKUP(B256, $B$1:B255, $AB$1:AB255, 0, 0, -1) * 0.9 + P256 * 0.1, 0), ""))</f>
        <v>4600</v>
      </c>
      <c r="AC256" t="s">
        <v>53</v>
      </c>
    </row>
    <row r="257" spans="1:29" x14ac:dyDescent="0.2">
      <c r="A257" t="s">
        <v>306</v>
      </c>
      <c r="B257" t="s">
        <v>307</v>
      </c>
      <c r="C257" t="s">
        <v>29</v>
      </c>
      <c r="D257" t="s">
        <v>308</v>
      </c>
      <c r="E257" t="s">
        <v>309</v>
      </c>
      <c r="F257" t="s">
        <v>145</v>
      </c>
      <c r="G257" t="s">
        <v>310</v>
      </c>
      <c r="H257" t="s">
        <v>77</v>
      </c>
      <c r="I257" s="2">
        <v>46138</v>
      </c>
      <c r="J257" s="1">
        <v>0.77355324074074072</v>
      </c>
      <c r="K257" t="s">
        <v>921</v>
      </c>
      <c r="L257" t="s">
        <v>137</v>
      </c>
      <c r="M257" t="s">
        <v>217</v>
      </c>
      <c r="N257" t="s">
        <v>1072</v>
      </c>
      <c r="O257" t="s">
        <v>1153</v>
      </c>
      <c r="P257">
        <v>3000</v>
      </c>
      <c r="Q257" t="s">
        <v>42</v>
      </c>
      <c r="R257" t="s">
        <v>43</v>
      </c>
      <c r="S257" t="s">
        <v>44</v>
      </c>
      <c r="T257" t="s">
        <v>313</v>
      </c>
      <c r="U257" t="s">
        <v>68</v>
      </c>
      <c r="V257" s="2">
        <v>44836</v>
      </c>
      <c r="W257" t="s">
        <v>48</v>
      </c>
      <c r="X257" t="s">
        <v>49</v>
      </c>
      <c r="Y257" t="s">
        <v>142</v>
      </c>
      <c r="Z257">
        <v>16</v>
      </c>
      <c r="AA257" t="s">
        <v>84</v>
      </c>
      <c r="AB257">
        <v>5095</v>
      </c>
      <c r="AC257" t="s">
        <v>53</v>
      </c>
    </row>
    <row r="258" spans="1:29" x14ac:dyDescent="0.2">
      <c r="A258" t="s">
        <v>314</v>
      </c>
      <c r="B258" t="s">
        <v>315</v>
      </c>
      <c r="C258">
        <v>1</v>
      </c>
      <c r="D258" t="s">
        <v>316</v>
      </c>
      <c r="E258" t="s">
        <v>247</v>
      </c>
      <c r="F258">
        <v>1</v>
      </c>
      <c r="G258" t="s">
        <v>317</v>
      </c>
      <c r="H258" t="s">
        <v>34</v>
      </c>
      <c r="I258" s="2">
        <v>46138</v>
      </c>
      <c r="J258" s="1">
        <v>0.97234953703703708</v>
      </c>
      <c r="K258" t="s">
        <v>1140</v>
      </c>
      <c r="L258" t="s">
        <v>1097</v>
      </c>
      <c r="N258" t="s">
        <v>115</v>
      </c>
      <c r="O258" t="s">
        <v>1096</v>
      </c>
      <c r="P258">
        <v>500</v>
      </c>
      <c r="Q258" t="s">
        <v>42</v>
      </c>
      <c r="R258" t="s">
        <v>43</v>
      </c>
      <c r="S258" t="s">
        <v>44</v>
      </c>
      <c r="T258" t="s">
        <v>320</v>
      </c>
      <c r="U258" t="s">
        <v>68</v>
      </c>
      <c r="V258" t="s">
        <v>905</v>
      </c>
      <c r="W258" t="s">
        <v>48</v>
      </c>
      <c r="X258" t="s">
        <v>49</v>
      </c>
      <c r="Z258">
        <v>16</v>
      </c>
      <c r="AA258" t="s">
        <v>1135</v>
      </c>
      <c r="AB258" cm="1">
        <f t="array" ref="AB258">IF(OR(COUNTIF(K258, "*FAC.C*")&gt;0, COUNTIF(J258, "*チャージ*")&gt;0, COUNTIF(J258, "*ギフト*")&gt;0), IFERROR(_xlfn.XLOOKUP(B258, $B$1:B257, $AB$1:AB257, 0, 0, -1), 0), IFERROR(ROUND(_xlfn.XLOOKUP(B258, $B$1:B257, $AB$1:AB257, 0, 0, -1) * 0.9 + P258 * 0.1, 0), ""))</f>
        <v>500</v>
      </c>
      <c r="AC258" t="s">
        <v>53</v>
      </c>
    </row>
    <row r="259" spans="1:29" x14ac:dyDescent="0.2">
      <c r="A259" t="s">
        <v>321</v>
      </c>
      <c r="B259" t="s">
        <v>322</v>
      </c>
      <c r="C259" t="s">
        <v>32</v>
      </c>
      <c r="D259" t="s">
        <v>323</v>
      </c>
      <c r="E259" t="s">
        <v>324</v>
      </c>
      <c r="F259" t="s">
        <v>90</v>
      </c>
      <c r="G259" t="s">
        <v>325</v>
      </c>
      <c r="H259" t="s">
        <v>59</v>
      </c>
      <c r="I259" s="2">
        <v>46138</v>
      </c>
      <c r="J259" t="s">
        <v>651</v>
      </c>
      <c r="K259" t="s">
        <v>922</v>
      </c>
      <c r="L259" t="s">
        <v>125</v>
      </c>
      <c r="M259" t="s">
        <v>272</v>
      </c>
      <c r="N259" t="s">
        <v>115</v>
      </c>
      <c r="O259" t="s">
        <v>713</v>
      </c>
      <c r="P259" t="s">
        <v>363</v>
      </c>
      <c r="Q259" t="s">
        <v>42</v>
      </c>
      <c r="R259" t="s">
        <v>43</v>
      </c>
      <c r="S259" t="s">
        <v>44</v>
      </c>
      <c r="T259" t="s">
        <v>329</v>
      </c>
      <c r="U259" t="s">
        <v>46</v>
      </c>
      <c r="V259" t="s">
        <v>905</v>
      </c>
      <c r="W259" t="s">
        <v>48</v>
      </c>
      <c r="X259" t="s">
        <v>49</v>
      </c>
      <c r="Y259" t="s">
        <v>82</v>
      </c>
      <c r="Z259" t="s">
        <v>70</v>
      </c>
      <c r="AA259" t="s">
        <v>128</v>
      </c>
      <c r="AB259" cm="1">
        <f t="array" ref="AB259">IF(OR(COUNTIF(K259, "*FAC.C*")&gt;0, COUNTIF(J259, "*チャージ*")&gt;0, COUNTIF(J259, "*ギフト*")&gt;0), IFERROR(_xlfn.XLOOKUP(B259, $B$1:B258, $AB$1:AB258, 0, 0, -1), 0), IFERROR(ROUND(_xlfn.XLOOKUP(B259, $B$1:B258, $AB$1:AB258, 0, 0, -1) * 0.9 + P259 * 0.1, 0), ""))</f>
        <v>7658</v>
      </c>
      <c r="AC259" t="s">
        <v>53</v>
      </c>
    </row>
    <row r="260" spans="1:29" x14ac:dyDescent="0.2">
      <c r="A260" t="s">
        <v>330</v>
      </c>
      <c r="B260" t="s">
        <v>331</v>
      </c>
      <c r="C260" t="s">
        <v>29</v>
      </c>
      <c r="D260" t="s">
        <v>56</v>
      </c>
      <c r="E260" t="s">
        <v>332</v>
      </c>
      <c r="F260" t="s">
        <v>32</v>
      </c>
      <c r="G260" t="s">
        <v>333</v>
      </c>
      <c r="H260" t="s">
        <v>77</v>
      </c>
      <c r="I260" s="2">
        <v>46138</v>
      </c>
      <c r="J260" t="s">
        <v>658</v>
      </c>
      <c r="K260" t="s">
        <v>1047</v>
      </c>
      <c r="L260" t="s">
        <v>113</v>
      </c>
      <c r="P260">
        <v>1500</v>
      </c>
      <c r="S260" t="s">
        <v>44</v>
      </c>
      <c r="T260" t="s">
        <v>67</v>
      </c>
      <c r="U260" t="s">
        <v>97</v>
      </c>
      <c r="W260" t="s">
        <v>48</v>
      </c>
      <c r="X260" t="s">
        <v>49</v>
      </c>
      <c r="Z260" t="s">
        <v>83</v>
      </c>
      <c r="AA260" t="s">
        <v>1048</v>
      </c>
      <c r="AB260" cm="1">
        <f t="array" ref="AB260">IF(OR(COUNTIF(K260, "*FAC.C*")&gt;0, COUNTIF(J260, "*チャージ*")&gt;0, COUNTIF(J260, "*ギフト*")&gt;0), IFERROR(_xlfn.XLOOKUP(B260, $B$1:B259, $AB$1:AB259, 0, 0, -1), 0), IFERROR(ROUND(_xlfn.XLOOKUP(B260, $B$1:B259, $AB$1:AB259, 0, 0, -1) * 0.9 + P260 * 0.1, 0), ""))</f>
        <v>800</v>
      </c>
      <c r="AC260" t="s">
        <v>53</v>
      </c>
    </row>
    <row r="261" spans="1:29" x14ac:dyDescent="0.2">
      <c r="A261" t="s">
        <v>336</v>
      </c>
      <c r="B261" t="s">
        <v>337</v>
      </c>
      <c r="C261" t="s">
        <v>29</v>
      </c>
      <c r="D261" t="s">
        <v>338</v>
      </c>
      <c r="E261" t="s">
        <v>204</v>
      </c>
      <c r="F261" t="s">
        <v>145</v>
      </c>
      <c r="G261" t="s">
        <v>339</v>
      </c>
      <c r="H261" t="s">
        <v>59</v>
      </c>
      <c r="I261" s="2">
        <v>46138</v>
      </c>
      <c r="J261" t="s">
        <v>664</v>
      </c>
      <c r="K261" t="s">
        <v>923</v>
      </c>
      <c r="L261" t="s">
        <v>1120</v>
      </c>
      <c r="M261" t="s">
        <v>1121</v>
      </c>
      <c r="N261" t="s">
        <v>1106</v>
      </c>
      <c r="O261" t="s">
        <v>1124</v>
      </c>
      <c r="P261">
        <v>3000</v>
      </c>
      <c r="Q261" t="s">
        <v>42</v>
      </c>
      <c r="R261" t="s">
        <v>43</v>
      </c>
      <c r="S261" t="s">
        <v>44</v>
      </c>
      <c r="T261" t="s">
        <v>341</v>
      </c>
      <c r="U261" t="s">
        <v>221</v>
      </c>
      <c r="V261" s="2">
        <v>46084</v>
      </c>
      <c r="W261" t="s">
        <v>48</v>
      </c>
      <c r="X261" t="s">
        <v>49</v>
      </c>
      <c r="Y261">
        <v>352811</v>
      </c>
      <c r="Z261">
        <v>16</v>
      </c>
      <c r="AA261" t="s">
        <v>107</v>
      </c>
      <c r="AB261" cm="1">
        <f t="array" ref="AB261">IF(OR(COUNTIF(K261, "*FAC.C*")&gt;0, COUNTIF(J261, "*チャージ*")&gt;0, COUNTIF(J261, "*ギフト*")&gt;0), IFERROR(_xlfn.XLOOKUP(B261, $B$1:B260, $AB$1:AB260, 0, 0, -1), 0), IFERROR(ROUND(_xlfn.XLOOKUP(B261, $B$1:B260, $AB$1:AB260, 0, 0, -1) * 0.9 + P261 * 0.1, 0), ""))</f>
        <v>12720</v>
      </c>
      <c r="AC261" t="s">
        <v>53</v>
      </c>
    </row>
    <row r="262" spans="1:29" x14ac:dyDescent="0.2">
      <c r="A262" t="s">
        <v>342</v>
      </c>
      <c r="B262" t="s">
        <v>343</v>
      </c>
      <c r="C262" t="s">
        <v>145</v>
      </c>
      <c r="D262" t="s">
        <v>100</v>
      </c>
      <c r="E262" t="s">
        <v>284</v>
      </c>
      <c r="F262" t="s">
        <v>145</v>
      </c>
      <c r="G262" t="s">
        <v>344</v>
      </c>
      <c r="H262" t="s">
        <v>34</v>
      </c>
      <c r="I262" s="2">
        <v>46139</v>
      </c>
      <c r="J262" s="1">
        <v>0.87869212962962961</v>
      </c>
      <c r="K262" t="s">
        <v>925</v>
      </c>
      <c r="L262" t="s">
        <v>1141</v>
      </c>
      <c r="M262" t="s">
        <v>1145</v>
      </c>
      <c r="N262" t="s">
        <v>115</v>
      </c>
      <c r="O262" t="s">
        <v>1146</v>
      </c>
      <c r="P262">
        <v>12000</v>
      </c>
      <c r="Q262" t="s">
        <v>42</v>
      </c>
      <c r="R262" t="s">
        <v>43</v>
      </c>
      <c r="S262" t="s">
        <v>44</v>
      </c>
      <c r="T262" t="s">
        <v>106</v>
      </c>
      <c r="U262" t="s">
        <v>1131</v>
      </c>
      <c r="V262" s="2">
        <v>44109</v>
      </c>
      <c r="W262" t="s">
        <v>48</v>
      </c>
      <c r="X262" t="s">
        <v>49</v>
      </c>
      <c r="Y262" t="s">
        <v>142</v>
      </c>
      <c r="Z262">
        <v>16</v>
      </c>
      <c r="AA262" t="s">
        <v>128</v>
      </c>
      <c r="AB262" cm="1">
        <f t="array" ref="AB262">IF(OR(COUNTIF(K262, "*FAC.C*")&gt;0, COUNTIF(J262, "*チャージ*")&gt;0, COUNTIF(J262, "*ギフト*")&gt;0), IFERROR(_xlfn.XLOOKUP(B262, $B$1:B261, $AB$1:AB261, 0, 0, -1), 0), IFERROR(ROUND(_xlfn.XLOOKUP(B262, $B$1:B261, $AB$1:AB261, 0, 0, -1) * 0.9 + P262 * 0.1, 0), ""))</f>
        <v>2339</v>
      </c>
      <c r="AC262" t="s">
        <v>53</v>
      </c>
    </row>
    <row r="263" spans="1:29" x14ac:dyDescent="0.2">
      <c r="A263" t="s">
        <v>347</v>
      </c>
      <c r="B263" t="s">
        <v>348</v>
      </c>
      <c r="C263" t="s">
        <v>145</v>
      </c>
      <c r="D263" t="s">
        <v>349</v>
      </c>
      <c r="E263" t="s">
        <v>350</v>
      </c>
      <c r="F263" t="s">
        <v>29</v>
      </c>
      <c r="G263" t="s">
        <v>351</v>
      </c>
      <c r="H263" t="s">
        <v>34</v>
      </c>
      <c r="I263" s="2">
        <v>46139</v>
      </c>
      <c r="J263" t="s">
        <v>674</v>
      </c>
      <c r="K263" t="s">
        <v>926</v>
      </c>
      <c r="L263" t="s">
        <v>137</v>
      </c>
      <c r="M263" t="s">
        <v>236</v>
      </c>
      <c r="N263" t="s">
        <v>115</v>
      </c>
      <c r="O263" t="s">
        <v>346</v>
      </c>
      <c r="P263" t="s">
        <v>117</v>
      </c>
      <c r="Q263" t="s">
        <v>42</v>
      </c>
      <c r="R263" t="s">
        <v>43</v>
      </c>
      <c r="S263" t="s">
        <v>44</v>
      </c>
      <c r="T263" t="s">
        <v>354</v>
      </c>
      <c r="U263" t="s">
        <v>68</v>
      </c>
      <c r="V263" t="s">
        <v>915</v>
      </c>
      <c r="W263" t="s">
        <v>48</v>
      </c>
      <c r="X263" t="s">
        <v>49</v>
      </c>
      <c r="Y263" t="s">
        <v>142</v>
      </c>
      <c r="Z263" t="s">
        <v>51</v>
      </c>
      <c r="AA263" t="s">
        <v>52</v>
      </c>
      <c r="AB263" cm="1">
        <f t="array" ref="AB263">IF(OR(COUNTIF(K263, "*FAC.C*")&gt;0, COUNTIF(J263, "*チャージ*")&gt;0, COUNTIF(J263, "*ギフト*")&gt;0), IFERROR(_xlfn.XLOOKUP(B263, $B$1:B262, $AB$1:AB262, 0, 0, -1), 0), IFERROR(ROUND(_xlfn.XLOOKUP(B263, $B$1:B262, $AB$1:AB262, 0, 0, -1) * 0.9 + P263 * 0.1, 0), ""))</f>
        <v>4685</v>
      </c>
      <c r="AC263" t="s">
        <v>85</v>
      </c>
    </row>
    <row r="264" spans="1:29" x14ac:dyDescent="0.2">
      <c r="A264" t="s">
        <v>355</v>
      </c>
      <c r="B264" t="s">
        <v>356</v>
      </c>
      <c r="C264" t="s">
        <v>29</v>
      </c>
      <c r="D264" t="s">
        <v>357</v>
      </c>
      <c r="E264" t="s">
        <v>358</v>
      </c>
      <c r="F264" t="s">
        <v>173</v>
      </c>
      <c r="G264" t="s">
        <v>359</v>
      </c>
      <c r="H264" t="s">
        <v>134</v>
      </c>
      <c r="I264" s="2">
        <v>46139</v>
      </c>
      <c r="J264" t="s">
        <v>678</v>
      </c>
      <c r="K264" t="s">
        <v>557</v>
      </c>
      <c r="L264" t="s">
        <v>113</v>
      </c>
      <c r="M264" t="s">
        <v>38</v>
      </c>
      <c r="N264" t="s">
        <v>39</v>
      </c>
      <c r="O264" t="s">
        <v>40</v>
      </c>
      <c r="P264" t="s">
        <v>41</v>
      </c>
      <c r="Q264" t="s">
        <v>42</v>
      </c>
      <c r="R264" t="s">
        <v>43</v>
      </c>
      <c r="S264" t="s">
        <v>44</v>
      </c>
      <c r="T264" t="s">
        <v>364</v>
      </c>
      <c r="U264" t="s">
        <v>46</v>
      </c>
      <c r="V264" t="s">
        <v>915</v>
      </c>
      <c r="W264" t="s">
        <v>48</v>
      </c>
      <c r="X264" t="s">
        <v>49</v>
      </c>
      <c r="Y264" t="s">
        <v>142</v>
      </c>
      <c r="Z264" t="s">
        <v>51</v>
      </c>
      <c r="AA264" t="s">
        <v>107</v>
      </c>
      <c r="AB264" cm="1">
        <f t="array" ref="AB264">IF(OR(COUNTIF(K264, "*FAC.C*")&gt;0, COUNTIF(J264, "*チャージ*")&gt;0, COUNTIF(J264, "*ギフト*")&gt;0), IFERROR(_xlfn.XLOOKUP(B264, $B$1:B263, $AB$1:AB263, 0, 0, -1), 0), IFERROR(ROUND(_xlfn.XLOOKUP(B264, $B$1:B263, $AB$1:AB263, 0, 0, -1) * 0.9 + P264 * 0.1, 0), ""))</f>
        <v>7275</v>
      </c>
      <c r="AC264" t="s">
        <v>85</v>
      </c>
    </row>
    <row r="265" spans="1:29" x14ac:dyDescent="0.2">
      <c r="A265" t="s">
        <v>365</v>
      </c>
      <c r="B265" t="s">
        <v>366</v>
      </c>
      <c r="C265" t="s">
        <v>32</v>
      </c>
      <c r="D265" t="s">
        <v>367</v>
      </c>
      <c r="E265" t="s">
        <v>368</v>
      </c>
      <c r="F265" t="s">
        <v>145</v>
      </c>
      <c r="G265" t="s">
        <v>369</v>
      </c>
      <c r="H265" t="s">
        <v>34</v>
      </c>
      <c r="I265" s="2">
        <v>46139</v>
      </c>
      <c r="J265" t="s">
        <v>682</v>
      </c>
      <c r="K265" t="s">
        <v>927</v>
      </c>
      <c r="L265" t="s">
        <v>62</v>
      </c>
      <c r="M265" t="s">
        <v>217</v>
      </c>
      <c r="N265" t="s">
        <v>115</v>
      </c>
      <c r="O265" t="s">
        <v>488</v>
      </c>
      <c r="P265" t="s">
        <v>41</v>
      </c>
      <c r="Q265" t="s">
        <v>42</v>
      </c>
      <c r="R265" t="s">
        <v>43</v>
      </c>
      <c r="S265" t="s">
        <v>44</v>
      </c>
      <c r="T265" t="s">
        <v>372</v>
      </c>
      <c r="U265" t="s">
        <v>68</v>
      </c>
      <c r="V265" t="s">
        <v>915</v>
      </c>
      <c r="W265" t="s">
        <v>48</v>
      </c>
      <c r="X265" t="s">
        <v>49</v>
      </c>
      <c r="Y265" t="s">
        <v>69</v>
      </c>
      <c r="Z265" t="s">
        <v>51</v>
      </c>
      <c r="AA265" t="s">
        <v>52</v>
      </c>
      <c r="AB265" cm="1">
        <f t="array" ref="AB265">IF(OR(COUNTIF(K265, "*FAC.C*")&gt;0, COUNTIF(J265, "*チャージ*")&gt;0, COUNTIF(J265, "*ギフト*")&gt;0), IFERROR(_xlfn.XLOOKUP(B265, $B$1:B264, $AB$1:AB264, 0, 0, -1), 0), IFERROR(ROUND(_xlfn.XLOOKUP(B265, $B$1:B264, $AB$1:AB264, 0, 0, -1) * 0.9 + P265 * 0.1, 0), ""))</f>
        <v>2986</v>
      </c>
      <c r="AC265" t="s">
        <v>53</v>
      </c>
    </row>
    <row r="266" spans="1:29" x14ac:dyDescent="0.2">
      <c r="A266" t="s">
        <v>373</v>
      </c>
      <c r="B266" t="s">
        <v>374</v>
      </c>
      <c r="C266" t="s">
        <v>29</v>
      </c>
      <c r="D266" t="s">
        <v>375</v>
      </c>
      <c r="E266" t="s">
        <v>193</v>
      </c>
      <c r="F266" t="s">
        <v>90</v>
      </c>
      <c r="G266" t="s">
        <v>376</v>
      </c>
      <c r="H266" t="s">
        <v>34</v>
      </c>
      <c r="I266" s="2">
        <v>46139</v>
      </c>
      <c r="J266" t="s">
        <v>687</v>
      </c>
      <c r="K266" t="s">
        <v>928</v>
      </c>
      <c r="L266" t="s">
        <v>37</v>
      </c>
      <c r="M266" t="s">
        <v>138</v>
      </c>
      <c r="N266" t="s">
        <v>39</v>
      </c>
      <c r="O266" t="s">
        <v>504</v>
      </c>
      <c r="P266" t="s">
        <v>363</v>
      </c>
      <c r="Q266" t="s">
        <v>42</v>
      </c>
      <c r="R266" t="s">
        <v>43</v>
      </c>
      <c r="S266" t="s">
        <v>44</v>
      </c>
      <c r="T266" t="s">
        <v>379</v>
      </c>
      <c r="U266" t="s">
        <v>97</v>
      </c>
      <c r="V266" t="s">
        <v>669</v>
      </c>
      <c r="W266" t="s">
        <v>48</v>
      </c>
      <c r="X266" t="s">
        <v>49</v>
      </c>
      <c r="Y266" t="s">
        <v>50</v>
      </c>
      <c r="Z266" t="s">
        <v>83</v>
      </c>
      <c r="AA266" t="s">
        <v>84</v>
      </c>
      <c r="AB266" cm="1">
        <f t="array" ref="AB266">IF(OR(COUNTIF(K266, "*FAC.C*")&gt;0, COUNTIF(J266, "*チャージ*")&gt;0, COUNTIF(J266, "*ギフト*")&gt;0), IFERROR(_xlfn.XLOOKUP(B266, $B$1:B265, $AB$1:AB265, 0, 0, -1), 0), IFERROR(ROUND(_xlfn.XLOOKUP(B266, $B$1:B265, $AB$1:AB265, 0, 0, -1) * 0.9 + P266 * 0.1, 0), ""))</f>
        <v>7531</v>
      </c>
      <c r="AC266" t="s">
        <v>85</v>
      </c>
    </row>
    <row r="267" spans="1:29" x14ac:dyDescent="0.2">
      <c r="A267" t="s">
        <v>380</v>
      </c>
      <c r="B267" t="s">
        <v>381</v>
      </c>
      <c r="C267" t="s">
        <v>145</v>
      </c>
      <c r="D267" t="s">
        <v>100</v>
      </c>
      <c r="E267" t="s">
        <v>101</v>
      </c>
      <c r="F267" t="s">
        <v>90</v>
      </c>
      <c r="G267" t="s">
        <v>382</v>
      </c>
      <c r="H267" t="s">
        <v>34</v>
      </c>
      <c r="I267" s="2">
        <v>46139</v>
      </c>
      <c r="J267" t="s">
        <v>690</v>
      </c>
      <c r="K267" t="s">
        <v>929</v>
      </c>
      <c r="L267" t="s">
        <v>80</v>
      </c>
      <c r="M267" t="s">
        <v>93</v>
      </c>
      <c r="N267" t="s">
        <v>39</v>
      </c>
      <c r="O267" t="s">
        <v>178</v>
      </c>
      <c r="P267" t="s">
        <v>179</v>
      </c>
      <c r="Q267" t="s">
        <v>42</v>
      </c>
      <c r="R267" t="s">
        <v>43</v>
      </c>
      <c r="S267" t="s">
        <v>44</v>
      </c>
      <c r="T267" t="s">
        <v>106</v>
      </c>
      <c r="U267" t="s">
        <v>97</v>
      </c>
      <c r="V267" t="s">
        <v>915</v>
      </c>
      <c r="W267" t="s">
        <v>48</v>
      </c>
      <c r="X267" t="s">
        <v>49</v>
      </c>
      <c r="Y267" t="s">
        <v>69</v>
      </c>
      <c r="Z267" t="s">
        <v>70</v>
      </c>
      <c r="AA267" t="s">
        <v>71</v>
      </c>
      <c r="AB267" cm="1">
        <f t="array" ref="AB267">IF(OR(COUNTIF(K267, "*FAC.C*")&gt;0, COUNTIF(J267, "*チャージ*")&gt;0, COUNTIF(J267, "*ギフト*")&gt;0), IFERROR(_xlfn.XLOOKUP(B267, $B$1:B266, $AB$1:AB266, 0, 0, -1), 0), IFERROR(ROUND(_xlfn.XLOOKUP(B267, $B$1:B266, $AB$1:AB266, 0, 0, -1) * 0.9 + P267 * 0.1, 0), ""))</f>
        <v>1409</v>
      </c>
      <c r="AC267" t="s">
        <v>85</v>
      </c>
    </row>
    <row r="268" spans="1:29" x14ac:dyDescent="0.2">
      <c r="A268" t="s">
        <v>385</v>
      </c>
      <c r="B268" t="s">
        <v>386</v>
      </c>
      <c r="C268" t="s">
        <v>173</v>
      </c>
      <c r="D268" t="s">
        <v>100</v>
      </c>
      <c r="E268" t="s">
        <v>387</v>
      </c>
      <c r="F268" t="s">
        <v>29</v>
      </c>
      <c r="G268" t="s">
        <v>388</v>
      </c>
      <c r="H268" t="s">
        <v>59</v>
      </c>
      <c r="I268" s="2">
        <v>46139</v>
      </c>
      <c r="J268" t="s">
        <v>693</v>
      </c>
      <c r="K268" t="s">
        <v>930</v>
      </c>
      <c r="L268" t="s">
        <v>113</v>
      </c>
      <c r="M268" t="s">
        <v>138</v>
      </c>
      <c r="N268" t="s">
        <v>39</v>
      </c>
      <c r="O268" t="s">
        <v>304</v>
      </c>
      <c r="P268" t="s">
        <v>41</v>
      </c>
      <c r="Q268" t="s">
        <v>42</v>
      </c>
      <c r="R268" t="s">
        <v>43</v>
      </c>
      <c r="S268" t="s">
        <v>44</v>
      </c>
      <c r="T268" t="s">
        <v>106</v>
      </c>
      <c r="U268" t="s">
        <v>68</v>
      </c>
      <c r="V268" t="s">
        <v>915</v>
      </c>
      <c r="W268" t="s">
        <v>48</v>
      </c>
      <c r="X268" t="s">
        <v>49</v>
      </c>
      <c r="Y268" t="s">
        <v>50</v>
      </c>
      <c r="Z268" t="s">
        <v>51</v>
      </c>
      <c r="AA268" t="s">
        <v>107</v>
      </c>
      <c r="AB268" cm="1">
        <f t="array" ref="AB268">IF(OR(COUNTIF(K268, "*FAC.C*")&gt;0, COUNTIF(J268, "*チャージ*")&gt;0, COUNTIF(J268, "*ギフト*")&gt;0), IFERROR(_xlfn.XLOOKUP(B268, $B$1:B267, $AB$1:AB267, 0, 0, -1), 0), IFERROR(ROUND(_xlfn.XLOOKUP(B268, $B$1:B267, $AB$1:AB267, 0, 0, -1) * 0.9 + P268 * 0.1, 0), ""))</f>
        <v>5660</v>
      </c>
      <c r="AC268" t="s">
        <v>53</v>
      </c>
    </row>
    <row r="269" spans="1:29" x14ac:dyDescent="0.2">
      <c r="A269" t="s">
        <v>391</v>
      </c>
      <c r="B269" t="s">
        <v>392</v>
      </c>
      <c r="C269" t="s">
        <v>32</v>
      </c>
      <c r="D269" t="s">
        <v>393</v>
      </c>
      <c r="E269" t="s">
        <v>394</v>
      </c>
      <c r="F269" t="s">
        <v>29</v>
      </c>
      <c r="G269" t="s">
        <v>395</v>
      </c>
      <c r="H269" t="s">
        <v>77</v>
      </c>
      <c r="I269" s="2">
        <v>46139</v>
      </c>
      <c r="J269" t="s">
        <v>449</v>
      </c>
      <c r="K269" t="s">
        <v>931</v>
      </c>
      <c r="L269" t="s">
        <v>1079</v>
      </c>
      <c r="M269" t="s">
        <v>1199</v>
      </c>
      <c r="N269" t="s">
        <v>1182</v>
      </c>
      <c r="O269" t="s">
        <v>1200</v>
      </c>
      <c r="P269">
        <v>160</v>
      </c>
      <c r="Q269" t="s">
        <v>42</v>
      </c>
      <c r="R269" t="s">
        <v>43</v>
      </c>
      <c r="S269" t="s">
        <v>44</v>
      </c>
      <c r="T269" t="s">
        <v>399</v>
      </c>
      <c r="U269" t="s">
        <v>200</v>
      </c>
      <c r="V269" s="2">
        <v>45933</v>
      </c>
      <c r="W269" t="s">
        <v>48</v>
      </c>
      <c r="X269" t="s">
        <v>49</v>
      </c>
      <c r="Z269">
        <v>16</v>
      </c>
      <c r="AA269" t="s">
        <v>107</v>
      </c>
      <c r="AB269" cm="1">
        <f t="array" ref="AB269">IF(OR(COUNTIF(K269, "*FAC.C*")&gt;0, COUNTIF(J269, "*チャージ*")&gt;0, COUNTIF(J269, "*ギフト*")&gt;0), IFERROR(_xlfn.XLOOKUP(B269, $B$1:B268, $AB$1:AB268, 0, 0, -1), 0), IFERROR(ROUND(_xlfn.XLOOKUP(B269, $B$1:B268, $AB$1:AB268, 0, 0, -1) * 0.9 + P269 * 0.1, 0), ""))</f>
        <v>310</v>
      </c>
      <c r="AC269" t="s">
        <v>53</v>
      </c>
    </row>
    <row r="270" spans="1:29" x14ac:dyDescent="0.2">
      <c r="A270" t="s">
        <v>211</v>
      </c>
      <c r="B270" t="s">
        <v>212</v>
      </c>
      <c r="C270">
        <v>3</v>
      </c>
      <c r="D270" t="s">
        <v>213</v>
      </c>
      <c r="E270" t="s">
        <v>147</v>
      </c>
      <c r="F270">
        <v>2</v>
      </c>
      <c r="G270" t="s">
        <v>214</v>
      </c>
      <c r="H270" t="s">
        <v>59</v>
      </c>
      <c r="I270" s="2">
        <v>46139</v>
      </c>
      <c r="J270" t="s">
        <v>701</v>
      </c>
      <c r="K270" t="s">
        <v>932</v>
      </c>
      <c r="L270" t="s">
        <v>125</v>
      </c>
      <c r="M270" t="s">
        <v>518</v>
      </c>
      <c r="N270" t="s">
        <v>1028</v>
      </c>
      <c r="O270" t="s">
        <v>519</v>
      </c>
      <c r="P270" t="s">
        <v>41</v>
      </c>
      <c r="Q270" t="s">
        <v>42</v>
      </c>
      <c r="R270" t="s">
        <v>43</v>
      </c>
      <c r="S270" t="s">
        <v>44</v>
      </c>
      <c r="T270" t="s">
        <v>220</v>
      </c>
      <c r="U270" t="s">
        <v>97</v>
      </c>
      <c r="V270" s="2">
        <v>44479</v>
      </c>
      <c r="W270" t="s">
        <v>48</v>
      </c>
      <c r="X270" t="s">
        <v>49</v>
      </c>
      <c r="Y270" t="s">
        <v>82</v>
      </c>
      <c r="Z270" t="s">
        <v>51</v>
      </c>
      <c r="AA270" t="s">
        <v>52</v>
      </c>
      <c r="AB270" cm="1">
        <f t="array" ref="AB270">IF(OR(COUNTIF(K270, "*FAC.C*")&gt;0, COUNTIF(J270, "*チャージ*")&gt;0, COUNTIF(J270, "*ギフト*")&gt;0), IFERROR(_xlfn.XLOOKUP(B270, $B$1:B269, $AB$1:AB269, 0, 0, -1), 0), IFERROR(ROUND(_xlfn.XLOOKUP(B270, $B$1:B269, $AB$1:AB269, 0, 0, -1) * 0.9 + P270 * 0.1, 0), ""))</f>
        <v>3714</v>
      </c>
      <c r="AC270" t="s">
        <v>53</v>
      </c>
    </row>
    <row r="271" spans="1:29" x14ac:dyDescent="0.2">
      <c r="A271" t="s">
        <v>222</v>
      </c>
      <c r="B271" t="s">
        <v>223</v>
      </c>
      <c r="C271" t="s">
        <v>173</v>
      </c>
      <c r="D271" t="s">
        <v>224</v>
      </c>
      <c r="E271" t="s">
        <v>147</v>
      </c>
      <c r="F271">
        <v>1</v>
      </c>
      <c r="G271" t="s">
        <v>225</v>
      </c>
      <c r="H271" t="s">
        <v>59</v>
      </c>
      <c r="I271" s="2">
        <v>46139</v>
      </c>
      <c r="J271" t="s">
        <v>704</v>
      </c>
      <c r="K271" t="s">
        <v>933</v>
      </c>
      <c r="L271" t="s">
        <v>137</v>
      </c>
      <c r="M271" t="s">
        <v>518</v>
      </c>
      <c r="N271" t="s">
        <v>39</v>
      </c>
      <c r="O271" t="s">
        <v>749</v>
      </c>
      <c r="P271" t="s">
        <v>363</v>
      </c>
      <c r="Q271" t="s">
        <v>42</v>
      </c>
      <c r="R271" t="s">
        <v>43</v>
      </c>
      <c r="S271" t="s">
        <v>44</v>
      </c>
      <c r="T271" t="s">
        <v>229</v>
      </c>
      <c r="U271" t="s">
        <v>68</v>
      </c>
      <c r="V271" s="2">
        <v>46139</v>
      </c>
      <c r="W271" t="s">
        <v>48</v>
      </c>
      <c r="X271" t="s">
        <v>49</v>
      </c>
      <c r="Y271" t="s">
        <v>142</v>
      </c>
      <c r="Z271">
        <v>14</v>
      </c>
      <c r="AA271" t="s">
        <v>84</v>
      </c>
      <c r="AB271" cm="1">
        <f t="array" ref="AB271">IF(OR(COUNTIF(K271, "*FAC.C*")&gt;0, COUNTIF(J271, "*チャージ*")&gt;0, COUNTIF(J271, "*ギフト*")&gt;0), IFERROR(_xlfn.XLOOKUP(B271, $B$1:B270, $AB$1:AB270, 0, 0, -1), 0), IFERROR(ROUND(_xlfn.XLOOKUP(B271, $B$1:B270, $AB$1:AB270, 0, 0, -1) * 0.9 + P271 * 0.1, 0), ""))</f>
        <v>2949</v>
      </c>
      <c r="AC271" t="s">
        <v>1020</v>
      </c>
    </row>
    <row r="272" spans="1:29" x14ac:dyDescent="0.2">
      <c r="A272" t="s">
        <v>230</v>
      </c>
      <c r="B272" t="s">
        <v>231</v>
      </c>
      <c r="C272" t="s">
        <v>173</v>
      </c>
      <c r="D272" t="s">
        <v>232</v>
      </c>
      <c r="E272" t="s">
        <v>233</v>
      </c>
      <c r="F272" t="s">
        <v>145</v>
      </c>
      <c r="G272" t="s">
        <v>234</v>
      </c>
      <c r="H272" t="s">
        <v>34</v>
      </c>
      <c r="I272" s="2">
        <v>46140</v>
      </c>
      <c r="J272" s="1">
        <v>0.34734953703703703</v>
      </c>
      <c r="K272" t="s">
        <v>935</v>
      </c>
      <c r="L272" t="s">
        <v>37</v>
      </c>
      <c r="M272" t="s">
        <v>1082</v>
      </c>
      <c r="N272" t="s">
        <v>115</v>
      </c>
      <c r="O272" t="s">
        <v>1083</v>
      </c>
      <c r="P272">
        <v>160</v>
      </c>
      <c r="S272" t="s">
        <v>44</v>
      </c>
      <c r="T272" t="s">
        <v>239</v>
      </c>
      <c r="U272" t="s">
        <v>200</v>
      </c>
      <c r="V272" s="2">
        <v>42947</v>
      </c>
      <c r="W272" t="s">
        <v>48</v>
      </c>
      <c r="X272" t="s">
        <v>49</v>
      </c>
      <c r="Y272" t="s">
        <v>50</v>
      </c>
      <c r="Z272">
        <v>15</v>
      </c>
      <c r="AA272" t="s">
        <v>84</v>
      </c>
      <c r="AB272" cm="1">
        <f t="array" ref="AB272">IF(OR(COUNTIF(K272, "*FAC.C*")&gt;0, COUNTIF(J272, "*チャージ*")&gt;0, COUNTIF(J272, "*ギフト*")&gt;0), IFERROR(_xlfn.XLOOKUP(B272, $B$1:B271, $AB$1:AB271, 0, 0, -1), 0), IFERROR(ROUND(_xlfn.XLOOKUP(B272, $B$1:B271, $AB$1:AB271, 0, 0, -1) * 0.9 + P272 * 0.1, 0), ""))</f>
        <v>521</v>
      </c>
      <c r="AC272" t="s">
        <v>53</v>
      </c>
    </row>
    <row r="273" spans="1:29" x14ac:dyDescent="0.2">
      <c r="A273" t="s">
        <v>240</v>
      </c>
      <c r="B273" t="s">
        <v>241</v>
      </c>
      <c r="C273" t="s">
        <v>29</v>
      </c>
      <c r="D273" t="s">
        <v>88</v>
      </c>
      <c r="E273" t="s">
        <v>154</v>
      </c>
      <c r="F273" t="s">
        <v>29</v>
      </c>
      <c r="G273" t="s">
        <v>242</v>
      </c>
      <c r="H273" t="s">
        <v>77</v>
      </c>
      <c r="I273" s="2">
        <v>46140</v>
      </c>
      <c r="J273" s="1">
        <v>0.66320601851851857</v>
      </c>
      <c r="K273" t="s">
        <v>936</v>
      </c>
      <c r="L273" t="s">
        <v>62</v>
      </c>
      <c r="M273" t="s">
        <v>250</v>
      </c>
      <c r="N273" t="s">
        <v>115</v>
      </c>
      <c r="O273" t="s">
        <v>583</v>
      </c>
      <c r="P273" t="s">
        <v>584</v>
      </c>
      <c r="Q273" t="s">
        <v>42</v>
      </c>
      <c r="R273" t="s">
        <v>43</v>
      </c>
      <c r="S273" t="s">
        <v>44</v>
      </c>
      <c r="T273" t="s">
        <v>96</v>
      </c>
      <c r="U273" t="s">
        <v>68</v>
      </c>
      <c r="V273" s="2">
        <v>46086</v>
      </c>
      <c r="W273" t="s">
        <v>48</v>
      </c>
      <c r="X273" t="s">
        <v>49</v>
      </c>
      <c r="Y273" t="s">
        <v>69</v>
      </c>
      <c r="Z273">
        <v>14</v>
      </c>
      <c r="AA273" t="s">
        <v>107</v>
      </c>
      <c r="AB273" cm="1">
        <f t="array" ref="AB273">IF(OR(COUNTIF(K273, "*FAC.C*")&gt;0, COUNTIF(J273, "*チャージ*")&gt;0, COUNTIF(J273, "*ギフト*")&gt;0), IFERROR(_xlfn.XLOOKUP(B273, $B$1:B272, $AB$1:AB272, 0, 0, -1), 0), IFERROR(ROUND(_xlfn.XLOOKUP(B273, $B$1:B272, $AB$1:AB272, 0, 0, -1) * 0.9 + P273 * 0.1, 0), ""))</f>
        <v>6486</v>
      </c>
      <c r="AC273" t="s">
        <v>85</v>
      </c>
    </row>
    <row r="274" spans="1:29" x14ac:dyDescent="0.2">
      <c r="A274" t="s">
        <v>245</v>
      </c>
      <c r="B274" t="s">
        <v>246</v>
      </c>
      <c r="C274" t="s">
        <v>145</v>
      </c>
      <c r="D274" t="s">
        <v>100</v>
      </c>
      <c r="E274" t="s">
        <v>247</v>
      </c>
      <c r="F274" t="s">
        <v>32</v>
      </c>
      <c r="G274" t="s">
        <v>248</v>
      </c>
      <c r="H274" t="s">
        <v>134</v>
      </c>
      <c r="I274" s="2">
        <v>46140</v>
      </c>
      <c r="J274" s="1">
        <v>0.92550925925925931</v>
      </c>
      <c r="K274" t="s">
        <v>937</v>
      </c>
      <c r="L274" t="s">
        <v>1126</v>
      </c>
      <c r="M274" t="s">
        <v>434</v>
      </c>
      <c r="N274" t="s">
        <v>115</v>
      </c>
      <c r="O274" t="s">
        <v>1174</v>
      </c>
      <c r="P274">
        <v>1840</v>
      </c>
      <c r="Q274" t="s">
        <v>42</v>
      </c>
      <c r="R274" t="s">
        <v>43</v>
      </c>
      <c r="S274" t="s">
        <v>44</v>
      </c>
      <c r="T274" t="s">
        <v>106</v>
      </c>
      <c r="U274" t="s">
        <v>1179</v>
      </c>
      <c r="V274" s="2">
        <v>45393</v>
      </c>
      <c r="W274" t="s">
        <v>48</v>
      </c>
      <c r="X274" t="s">
        <v>49</v>
      </c>
      <c r="Y274">
        <v>352811</v>
      </c>
      <c r="Z274">
        <v>15</v>
      </c>
      <c r="AA274" t="s">
        <v>84</v>
      </c>
      <c r="AB274" cm="1">
        <f t="array" ref="AB274">IF(OR(COUNTIF(K274, "*FAC.C*")&gt;0, COUNTIF(J274, "*チャージ*")&gt;0, COUNTIF(J274, "*ギフト*")&gt;0), IFERROR(_xlfn.XLOOKUP(B274, $B$1:B273, $AB$1:AB273, 0, 0, -1), 0), IFERROR(ROUND(_xlfn.XLOOKUP(B274, $B$1:B273, $AB$1:AB273, 0, 0, -1) * 0.9 + P274 * 0.1, 0), ""))</f>
        <v>511</v>
      </c>
      <c r="AC274" t="s">
        <v>53</v>
      </c>
    </row>
    <row r="275" spans="1:29" x14ac:dyDescent="0.2">
      <c r="A275" t="s">
        <v>252</v>
      </c>
      <c r="B275" t="s">
        <v>253</v>
      </c>
      <c r="C275" t="s">
        <v>32</v>
      </c>
      <c r="D275" t="s">
        <v>254</v>
      </c>
      <c r="E275" t="s">
        <v>255</v>
      </c>
      <c r="F275" t="s">
        <v>173</v>
      </c>
      <c r="G275" t="s">
        <v>256</v>
      </c>
      <c r="H275" t="s">
        <v>59</v>
      </c>
      <c r="I275" s="2">
        <v>46140</v>
      </c>
      <c r="J275" t="s">
        <v>562</v>
      </c>
      <c r="K275" t="s">
        <v>938</v>
      </c>
      <c r="L275" t="s">
        <v>62</v>
      </c>
      <c r="M275" t="s">
        <v>38</v>
      </c>
      <c r="N275" t="s">
        <v>39</v>
      </c>
      <c r="O275" t="s">
        <v>296</v>
      </c>
      <c r="P275" t="s">
        <v>179</v>
      </c>
      <c r="Q275" t="s">
        <v>42</v>
      </c>
      <c r="R275" t="s">
        <v>43</v>
      </c>
      <c r="S275" t="s">
        <v>44</v>
      </c>
      <c r="T275" t="s">
        <v>1024</v>
      </c>
      <c r="U275" t="s">
        <v>68</v>
      </c>
      <c r="V275" s="2">
        <v>41653</v>
      </c>
      <c r="W275" t="s">
        <v>48</v>
      </c>
      <c r="X275" t="s">
        <v>49</v>
      </c>
      <c r="Y275" t="s">
        <v>69</v>
      </c>
      <c r="Z275" t="s">
        <v>70</v>
      </c>
      <c r="AA275" t="s">
        <v>128</v>
      </c>
      <c r="AB275" cm="1">
        <f t="array" ref="AB275">IF(OR(COUNTIF(K275, "*FAC.C*")&gt;0, COUNTIF(J275, "*チャージ*")&gt;0, COUNTIF(J275, "*ギフト*")&gt;0), IFERROR(_xlfn.XLOOKUP(B275, $B$1:B274, $AB$1:AB274, 0, 0, -1), 0), IFERROR(ROUND(_xlfn.XLOOKUP(B275, $B$1:B274, $AB$1:AB274, 0, 0, -1) * 0.9 + P275 * 0.1, 0), ""))</f>
        <v>5522</v>
      </c>
      <c r="AC275" t="s">
        <v>53</v>
      </c>
    </row>
    <row r="276" spans="1:29" x14ac:dyDescent="0.2">
      <c r="A276" t="s">
        <v>261</v>
      </c>
      <c r="B276" t="s">
        <v>262</v>
      </c>
      <c r="C276" t="s">
        <v>32</v>
      </c>
      <c r="D276" t="s">
        <v>263</v>
      </c>
      <c r="E276" t="s">
        <v>204</v>
      </c>
      <c r="F276" t="s">
        <v>29</v>
      </c>
      <c r="G276" t="s">
        <v>264</v>
      </c>
      <c r="H276" t="s">
        <v>34</v>
      </c>
      <c r="I276" s="2">
        <v>46137</v>
      </c>
      <c r="J276" s="1">
        <v>0.87859953703703708</v>
      </c>
      <c r="K276" t="s">
        <v>939</v>
      </c>
      <c r="L276" t="s">
        <v>1126</v>
      </c>
      <c r="M276" t="s">
        <v>1076</v>
      </c>
      <c r="N276" t="s">
        <v>115</v>
      </c>
      <c r="O276" t="s">
        <v>1132</v>
      </c>
      <c r="P276">
        <v>160</v>
      </c>
      <c r="Q276" t="s">
        <v>42</v>
      </c>
      <c r="R276" t="s">
        <v>43</v>
      </c>
      <c r="S276" t="s">
        <v>44</v>
      </c>
      <c r="T276" t="s">
        <v>266</v>
      </c>
      <c r="U276" t="s">
        <v>1131</v>
      </c>
      <c r="V276" s="2">
        <v>44941</v>
      </c>
      <c r="W276" t="s">
        <v>48</v>
      </c>
      <c r="X276" t="s">
        <v>49</v>
      </c>
      <c r="Y276" t="s">
        <v>50</v>
      </c>
      <c r="Z276">
        <v>160</v>
      </c>
      <c r="AA276" t="s">
        <v>52</v>
      </c>
      <c r="AB276" cm="1">
        <f t="array" ref="AB276">IF(OR(COUNTIF(K276, "*FAC.C*")&gt;0, COUNTIF(J276, "*チャージ*")&gt;0, COUNTIF(J276, "*ギフト*")&gt;0), IFERROR(_xlfn.XLOOKUP(B276, $B$1:B275, $AB$1:AB275, 0, 0, -1), 0), IFERROR(ROUND(_xlfn.XLOOKUP(B276, $B$1:B275, $AB$1:AB275, 0, 0, -1) * 0.9 + P276 * 0.1, 0), ""))</f>
        <v>55</v>
      </c>
      <c r="AC276" t="s">
        <v>53</v>
      </c>
    </row>
    <row r="277" spans="1:29" x14ac:dyDescent="0.2">
      <c r="A277" t="s">
        <v>267</v>
      </c>
      <c r="B277" t="s">
        <v>268</v>
      </c>
      <c r="C277" t="s">
        <v>32</v>
      </c>
      <c r="D277" t="s">
        <v>88</v>
      </c>
      <c r="E277" t="s">
        <v>154</v>
      </c>
      <c r="F277" t="s">
        <v>29</v>
      </c>
      <c r="G277" t="s">
        <v>269</v>
      </c>
      <c r="H277" t="s">
        <v>34</v>
      </c>
      <c r="I277" s="2">
        <v>46140</v>
      </c>
      <c r="J277" t="s">
        <v>574</v>
      </c>
      <c r="K277" t="s">
        <v>940</v>
      </c>
      <c r="L277" t="s">
        <v>137</v>
      </c>
      <c r="M277" t="s">
        <v>126</v>
      </c>
      <c r="N277" t="s">
        <v>115</v>
      </c>
      <c r="O277" t="s">
        <v>858</v>
      </c>
      <c r="P277" t="s">
        <v>140</v>
      </c>
      <c r="Q277" t="s">
        <v>42</v>
      </c>
      <c r="R277" t="s">
        <v>43</v>
      </c>
      <c r="S277" t="s">
        <v>44</v>
      </c>
      <c r="T277" t="s">
        <v>96</v>
      </c>
      <c r="U277" t="s">
        <v>221</v>
      </c>
      <c r="V277" t="s">
        <v>924</v>
      </c>
      <c r="W277" t="s">
        <v>48</v>
      </c>
      <c r="X277" t="s">
        <v>49</v>
      </c>
      <c r="Y277" t="s">
        <v>142</v>
      </c>
      <c r="Z277" t="s">
        <v>51</v>
      </c>
      <c r="AA277" t="s">
        <v>107</v>
      </c>
      <c r="AB277" cm="1">
        <f t="array" ref="AB277">IF(OR(COUNTIF(K277, "*FAC.C*")&gt;0, COUNTIF(J277, "*チャージ*")&gt;0, COUNTIF(J277, "*ギフト*")&gt;0), IFERROR(_xlfn.XLOOKUP(B277, $B$1:B276, $AB$1:AB276, 0, 0, -1), 0), IFERROR(ROUND(_xlfn.XLOOKUP(B277, $B$1:B276, $AB$1:AB276, 0, 0, -1) * 0.9 + P277 * 0.1, 0), ""))</f>
        <v>4690</v>
      </c>
      <c r="AC277" t="s">
        <v>85</v>
      </c>
    </row>
    <row r="278" spans="1:29" x14ac:dyDescent="0.2">
      <c r="A278" t="s">
        <v>274</v>
      </c>
      <c r="B278" t="s">
        <v>275</v>
      </c>
      <c r="C278" t="s">
        <v>173</v>
      </c>
      <c r="D278" t="s">
        <v>276</v>
      </c>
      <c r="E278" t="s">
        <v>89</v>
      </c>
      <c r="F278" t="s">
        <v>173</v>
      </c>
      <c r="G278" t="s">
        <v>277</v>
      </c>
      <c r="H278" t="s">
        <v>134</v>
      </c>
      <c r="I278" s="2">
        <v>46140</v>
      </c>
      <c r="J278" s="1">
        <v>0.55218750000000005</v>
      </c>
      <c r="K278" t="s">
        <v>941</v>
      </c>
      <c r="L278" t="s">
        <v>125</v>
      </c>
      <c r="M278" t="s">
        <v>1036</v>
      </c>
      <c r="N278" t="s">
        <v>1182</v>
      </c>
      <c r="O278" t="s">
        <v>1202</v>
      </c>
      <c r="P278">
        <v>800</v>
      </c>
      <c r="Q278" t="s">
        <v>279</v>
      </c>
      <c r="R278" t="s">
        <v>43</v>
      </c>
      <c r="S278" t="s">
        <v>44</v>
      </c>
      <c r="T278" t="s">
        <v>1206</v>
      </c>
      <c r="U278" t="s">
        <v>1207</v>
      </c>
      <c r="V278" s="2">
        <v>44138</v>
      </c>
      <c r="W278" t="s">
        <v>48</v>
      </c>
      <c r="X278">
        <v>1</v>
      </c>
      <c r="Y278" t="s">
        <v>82</v>
      </c>
      <c r="Z278" t="s">
        <v>70</v>
      </c>
      <c r="AA278" t="s">
        <v>128</v>
      </c>
      <c r="AB278" cm="1">
        <f t="array" ref="AB278">IF(OR(COUNTIF(K278, "*FAC.C*")&gt;0, COUNTIF(J278, "*チャージ*")&gt;0, COUNTIF(J278, "*ギフト*")&gt;0), IFERROR(_xlfn.XLOOKUP(B278, $B$1:B277, $AB$1:AB277, 0, 0, -1), 0), IFERROR(ROUND(_xlfn.XLOOKUP(B278, $B$1:B277, $AB$1:AB277, 0, 0, -1) * 0.9 + P278 * 0.1, 0), ""))</f>
        <v>572</v>
      </c>
      <c r="AC278" t="s">
        <v>1192</v>
      </c>
    </row>
    <row r="279" spans="1:29" x14ac:dyDescent="0.2">
      <c r="A279" t="s">
        <v>274</v>
      </c>
      <c r="B279" t="s">
        <v>275</v>
      </c>
      <c r="C279" t="s">
        <v>173</v>
      </c>
      <c r="D279" t="s">
        <v>276</v>
      </c>
      <c r="E279" t="s">
        <v>89</v>
      </c>
      <c r="F279" t="s">
        <v>173</v>
      </c>
      <c r="G279" t="s">
        <v>277</v>
      </c>
      <c r="H279" t="s">
        <v>134</v>
      </c>
      <c r="I279" s="2">
        <v>46142</v>
      </c>
      <c r="J279" t="s">
        <v>942</v>
      </c>
      <c r="K279" t="s">
        <v>943</v>
      </c>
      <c r="L279" t="s">
        <v>113</v>
      </c>
      <c r="P279" t="s">
        <v>546</v>
      </c>
      <c r="S279" t="s">
        <v>44</v>
      </c>
      <c r="T279" t="s">
        <v>280</v>
      </c>
      <c r="U279" t="s">
        <v>221</v>
      </c>
      <c r="W279" t="s">
        <v>48</v>
      </c>
      <c r="X279">
        <v>1</v>
      </c>
      <c r="Z279" t="s">
        <v>70</v>
      </c>
      <c r="AA279" t="s">
        <v>128</v>
      </c>
      <c r="AB279">
        <v>3435</v>
      </c>
      <c r="AC279" t="s">
        <v>53</v>
      </c>
    </row>
    <row r="280" spans="1:29" x14ac:dyDescent="0.2">
      <c r="A280" t="s">
        <v>274</v>
      </c>
      <c r="B280" t="s">
        <v>275</v>
      </c>
      <c r="C280" t="s">
        <v>173</v>
      </c>
      <c r="D280" t="s">
        <v>276</v>
      </c>
      <c r="E280" t="s">
        <v>89</v>
      </c>
      <c r="F280" t="s">
        <v>173</v>
      </c>
      <c r="G280" t="s">
        <v>277</v>
      </c>
      <c r="H280" t="s">
        <v>134</v>
      </c>
      <c r="I280" s="2">
        <v>46142</v>
      </c>
      <c r="J280" t="s">
        <v>944</v>
      </c>
      <c r="K280" t="s">
        <v>945</v>
      </c>
      <c r="L280" t="s">
        <v>113</v>
      </c>
      <c r="M280" t="s">
        <v>946</v>
      </c>
      <c r="N280" t="s">
        <v>947</v>
      </c>
      <c r="O280" t="s">
        <v>948</v>
      </c>
      <c r="P280" t="s">
        <v>140</v>
      </c>
      <c r="Q280" t="s">
        <v>279</v>
      </c>
      <c r="R280" t="s">
        <v>43</v>
      </c>
      <c r="S280" t="s">
        <v>44</v>
      </c>
      <c r="T280" t="s">
        <v>280</v>
      </c>
      <c r="U280" t="s">
        <v>221</v>
      </c>
      <c r="V280" t="s">
        <v>924</v>
      </c>
      <c r="W280" t="s">
        <v>48</v>
      </c>
      <c r="X280">
        <v>1</v>
      </c>
      <c r="Z280">
        <v>16</v>
      </c>
      <c r="AA280" t="s">
        <v>128</v>
      </c>
      <c r="AB280" cm="1">
        <f t="array" ref="AB280">IF(OR(COUNTIF(K280, "*FAC.C*")&gt;0, COUNTIF(J280, "*チャージ*")&gt;0, COUNTIF(J280, "*ギフト*")&gt;0), IFERROR(_xlfn.XLOOKUP(B280, $B$1:B279, $AB$1:AB279, 0, 0, -1), 0), IFERROR(ROUND(_xlfn.XLOOKUP(B280, $B$1:B279, $AB$1:AB279, 0, 0, -1) * 0.9 + P280 * 0.1, 0), ""))</f>
        <v>3240</v>
      </c>
      <c r="AC280" t="s">
        <v>53</v>
      </c>
    </row>
    <row r="281" spans="1:29" x14ac:dyDescent="0.2">
      <c r="A281" t="s">
        <v>281</v>
      </c>
      <c r="B281" t="s">
        <v>282</v>
      </c>
      <c r="C281" t="s">
        <v>173</v>
      </c>
      <c r="D281" t="s">
        <v>283</v>
      </c>
      <c r="E281" t="s">
        <v>284</v>
      </c>
      <c r="F281" t="s">
        <v>145</v>
      </c>
      <c r="G281" s="3">
        <v>359150071234560</v>
      </c>
      <c r="H281" t="s">
        <v>59</v>
      </c>
      <c r="I281" s="2">
        <v>46140</v>
      </c>
      <c r="J281" t="s">
        <v>590</v>
      </c>
      <c r="K281" t="s">
        <v>949</v>
      </c>
      <c r="L281" t="s">
        <v>113</v>
      </c>
      <c r="M281" t="s">
        <v>1029</v>
      </c>
      <c r="N281" t="s">
        <v>115</v>
      </c>
      <c r="O281" t="s">
        <v>127</v>
      </c>
      <c r="P281" t="s">
        <v>41</v>
      </c>
      <c r="Q281" t="s">
        <v>42</v>
      </c>
      <c r="R281" t="s">
        <v>43</v>
      </c>
      <c r="S281" t="s">
        <v>44</v>
      </c>
      <c r="T281" t="s">
        <v>288</v>
      </c>
      <c r="U281" t="s">
        <v>200</v>
      </c>
      <c r="V281" s="2">
        <v>42245</v>
      </c>
      <c r="W281" t="s">
        <v>48</v>
      </c>
      <c r="X281" t="s">
        <v>49</v>
      </c>
      <c r="Z281" t="s">
        <v>70</v>
      </c>
      <c r="AA281" t="s">
        <v>1026</v>
      </c>
      <c r="AB281" cm="1">
        <f t="array" ref="AB281">IF(OR(COUNTIF(K281, "*FAC.C*")&gt;0, COUNTIF(J281, "*チャージ*")&gt;0, COUNTIF(J281, "*ギフト*")&gt;0), IFERROR(_xlfn.XLOOKUP(B281, $B$1:B280, $AB$1:AB280, 0, 0, -1), 0), IFERROR(ROUND(_xlfn.XLOOKUP(B281, $B$1:B280, $AB$1:AB280, 0, 0, -1) * 0.9 + P281 * 0.1, 0), ""))</f>
        <v>21737</v>
      </c>
      <c r="AC281" t="s">
        <v>53</v>
      </c>
    </row>
    <row r="282" spans="1:29" x14ac:dyDescent="0.2">
      <c r="A282" t="s">
        <v>267</v>
      </c>
      <c r="B282" t="s">
        <v>268</v>
      </c>
      <c r="C282" t="s">
        <v>32</v>
      </c>
      <c r="D282" t="s">
        <v>88</v>
      </c>
      <c r="E282" t="s">
        <v>154</v>
      </c>
      <c r="F282" t="s">
        <v>29</v>
      </c>
      <c r="G282" t="s">
        <v>269</v>
      </c>
      <c r="H282" t="s">
        <v>34</v>
      </c>
      <c r="I282" s="2">
        <v>46140</v>
      </c>
      <c r="J282" t="s">
        <v>595</v>
      </c>
      <c r="K282" t="s">
        <v>950</v>
      </c>
      <c r="L282" t="s">
        <v>37</v>
      </c>
      <c r="M282" t="s">
        <v>63</v>
      </c>
      <c r="N282" t="s">
        <v>64</v>
      </c>
      <c r="O282" t="s">
        <v>65</v>
      </c>
      <c r="P282" t="s">
        <v>66</v>
      </c>
      <c r="Q282" t="s">
        <v>42</v>
      </c>
      <c r="R282" t="s">
        <v>43</v>
      </c>
      <c r="S282" t="s">
        <v>44</v>
      </c>
      <c r="T282" t="s">
        <v>96</v>
      </c>
      <c r="U282" t="s">
        <v>221</v>
      </c>
      <c r="V282" t="s">
        <v>864</v>
      </c>
      <c r="W282" t="s">
        <v>48</v>
      </c>
      <c r="X282" t="s">
        <v>49</v>
      </c>
      <c r="Y282" t="s">
        <v>50</v>
      </c>
      <c r="Z282" t="s">
        <v>51</v>
      </c>
      <c r="AA282" t="s">
        <v>107</v>
      </c>
      <c r="AB282" cm="1">
        <f t="array" ref="AB282">IF(OR(COUNTIF(K282, "*FAC.C*")&gt;0, COUNTIF(J282, "*チャージ*")&gt;0, COUNTIF(J282, "*ギフト*")&gt;0), IFERROR(_xlfn.XLOOKUP(B282, $B$1:B281, $AB$1:AB281, 0, 0, -1), 0), IFERROR(ROUND(_xlfn.XLOOKUP(B282, $B$1:B281, $AB$1:AB281, 0, 0, -1) * 0.9 + P282 * 0.1, 0), ""))</f>
        <v>4541</v>
      </c>
      <c r="AC282" t="s">
        <v>85</v>
      </c>
    </row>
    <row r="283" spans="1:29" x14ac:dyDescent="0.2">
      <c r="A283" t="s">
        <v>452</v>
      </c>
      <c r="B283" t="s">
        <v>453</v>
      </c>
      <c r="C283" t="s">
        <v>32</v>
      </c>
      <c r="D283" t="s">
        <v>454</v>
      </c>
      <c r="E283" t="s">
        <v>455</v>
      </c>
      <c r="F283" t="s">
        <v>145</v>
      </c>
      <c r="G283" t="s">
        <v>456</v>
      </c>
      <c r="H283" t="s">
        <v>34</v>
      </c>
      <c r="I283" s="2">
        <v>46141</v>
      </c>
      <c r="J283" t="s">
        <v>607</v>
      </c>
      <c r="K283" t="s">
        <v>952</v>
      </c>
      <c r="L283" t="s">
        <v>113</v>
      </c>
      <c r="M283" t="s">
        <v>236</v>
      </c>
      <c r="N283" t="s">
        <v>115</v>
      </c>
      <c r="O283" t="s">
        <v>237</v>
      </c>
      <c r="P283" t="s">
        <v>238</v>
      </c>
      <c r="Q283" t="s">
        <v>42</v>
      </c>
      <c r="R283" t="s">
        <v>43</v>
      </c>
      <c r="S283" t="s">
        <v>44</v>
      </c>
      <c r="T283" t="s">
        <v>460</v>
      </c>
      <c r="U283" t="s">
        <v>46</v>
      </c>
      <c r="V283" t="s">
        <v>934</v>
      </c>
      <c r="W283" t="s">
        <v>48</v>
      </c>
      <c r="X283" t="s">
        <v>49</v>
      </c>
      <c r="Y283" t="s">
        <v>69</v>
      </c>
      <c r="Z283" t="s">
        <v>70</v>
      </c>
      <c r="AA283" t="s">
        <v>128</v>
      </c>
      <c r="AB283" cm="1">
        <f t="array" ref="AB283">IF(OR(COUNTIF(K283, "*FAC.C*")&gt;0, COUNTIF(J283, "*チャージ*")&gt;0, COUNTIF(J283, "*ギフト*")&gt;0), IFERROR(_xlfn.XLOOKUP(B283, $B$1:B282, $AB$1:AB282, 0, 0, -1), 0), IFERROR(ROUND(_xlfn.XLOOKUP(B283, $B$1:B282, $AB$1:AB282, 0, 0, -1) * 0.9 + P283 * 0.1, 0), ""))</f>
        <v>5207</v>
      </c>
      <c r="AC283" t="s">
        <v>85</v>
      </c>
    </row>
    <row r="284" spans="1:29" x14ac:dyDescent="0.2">
      <c r="A284" t="s">
        <v>461</v>
      </c>
      <c r="B284" t="s">
        <v>462</v>
      </c>
      <c r="C284" t="s">
        <v>173</v>
      </c>
      <c r="D284" t="s">
        <v>463</v>
      </c>
      <c r="E284" t="s">
        <v>31</v>
      </c>
      <c r="F284">
        <v>2</v>
      </c>
      <c r="G284" t="s">
        <v>777</v>
      </c>
      <c r="H284" t="s">
        <v>77</v>
      </c>
      <c r="I284" s="2">
        <v>46141</v>
      </c>
      <c r="J284" s="1">
        <v>0.95537037037037043</v>
      </c>
      <c r="K284" t="s">
        <v>953</v>
      </c>
      <c r="L284" t="s">
        <v>62</v>
      </c>
      <c r="M284" t="s">
        <v>518</v>
      </c>
      <c r="N284" t="s">
        <v>1072</v>
      </c>
      <c r="O284" t="s">
        <v>749</v>
      </c>
      <c r="P284" t="s">
        <v>363</v>
      </c>
      <c r="Q284" t="s">
        <v>42</v>
      </c>
      <c r="R284" t="s">
        <v>43</v>
      </c>
      <c r="S284" t="s">
        <v>44</v>
      </c>
      <c r="T284" t="s">
        <v>467</v>
      </c>
      <c r="U284" t="s">
        <v>97</v>
      </c>
      <c r="V284" s="2">
        <v>44602</v>
      </c>
      <c r="W284" t="s">
        <v>48</v>
      </c>
      <c r="X284" t="s">
        <v>49</v>
      </c>
      <c r="Y284" t="s">
        <v>69</v>
      </c>
      <c r="Z284">
        <v>14</v>
      </c>
      <c r="AA284" t="s">
        <v>1086</v>
      </c>
      <c r="AB284" cm="1">
        <f t="array" ref="AB284">IF(OR(COUNTIF(K284, "*FAC.C*")&gt;0, COUNTIF(J284, "*チャージ*")&gt;0, COUNTIF(J284, "*ギフト*")&gt;0), IFERROR(_xlfn.XLOOKUP(B284, $B$1:B283, $AB$1:AB283, 0, 0, -1), 0), IFERROR(ROUND(_xlfn.XLOOKUP(B284, $B$1:B283, $AB$1:AB283, 0, 0, -1) * 0.9 + P284 * 0.1, 0), ""))</f>
        <v>1479</v>
      </c>
      <c r="AC284" t="s">
        <v>53</v>
      </c>
    </row>
    <row r="285" spans="1:29" x14ac:dyDescent="0.2">
      <c r="A285" t="s">
        <v>468</v>
      </c>
      <c r="B285" t="s">
        <v>469</v>
      </c>
      <c r="C285">
        <v>1</v>
      </c>
      <c r="D285" t="s">
        <v>470</v>
      </c>
      <c r="E285" t="s">
        <v>471</v>
      </c>
      <c r="F285">
        <v>1</v>
      </c>
      <c r="G285" t="s">
        <v>472</v>
      </c>
      <c r="H285" t="s">
        <v>77</v>
      </c>
      <c r="I285" s="2">
        <v>46141</v>
      </c>
      <c r="J285" s="1">
        <v>0.92718750000000005</v>
      </c>
      <c r="K285" t="s">
        <v>1094</v>
      </c>
      <c r="L285" t="s">
        <v>125</v>
      </c>
      <c r="M285" t="s">
        <v>1095</v>
      </c>
      <c r="N285" t="s">
        <v>115</v>
      </c>
      <c r="O285" t="s">
        <v>1096</v>
      </c>
      <c r="P285">
        <v>200</v>
      </c>
      <c r="Q285" t="s">
        <v>42</v>
      </c>
      <c r="R285" t="s">
        <v>43</v>
      </c>
      <c r="S285" t="s">
        <v>44</v>
      </c>
      <c r="T285" t="s">
        <v>474</v>
      </c>
      <c r="U285" t="s">
        <v>221</v>
      </c>
      <c r="V285" s="2">
        <v>40638</v>
      </c>
      <c r="W285" t="s">
        <v>48</v>
      </c>
      <c r="X285" t="s">
        <v>49</v>
      </c>
      <c r="Y285" t="s">
        <v>82</v>
      </c>
      <c r="Z285">
        <v>14</v>
      </c>
      <c r="AA285" t="s">
        <v>1091</v>
      </c>
      <c r="AB285" cm="1">
        <f t="array" ref="AB285">IF(OR(COUNTIF(K285, "*FAC.C*")&gt;0, COUNTIF(J285, "*チャージ*")&gt;0, COUNTIF(J285, "*ギフト*")&gt;0), IFERROR(_xlfn.XLOOKUP(B285, $B$1:B284, $AB$1:AB284, 0, 0, -1), 0), IFERROR(ROUND(_xlfn.XLOOKUP(B285, $B$1:B284, $AB$1:AB284, 0, 0, -1) * 0.9 + P285 * 0.1, 0), ""))</f>
        <v>200</v>
      </c>
      <c r="AC285" t="s">
        <v>85</v>
      </c>
    </row>
    <row r="286" spans="1:29" x14ac:dyDescent="0.2">
      <c r="A286" t="s">
        <v>475</v>
      </c>
      <c r="B286" t="s">
        <v>476</v>
      </c>
      <c r="C286" t="s">
        <v>173</v>
      </c>
      <c r="D286" t="s">
        <v>477</v>
      </c>
      <c r="E286" t="s">
        <v>368</v>
      </c>
      <c r="F286" t="s">
        <v>32</v>
      </c>
      <c r="G286" t="s">
        <v>478</v>
      </c>
      <c r="H286" t="s">
        <v>34</v>
      </c>
      <c r="I286" s="2">
        <v>46141</v>
      </c>
      <c r="J286" t="s">
        <v>626</v>
      </c>
      <c r="K286" t="s">
        <v>954</v>
      </c>
      <c r="L286" t="s">
        <v>137</v>
      </c>
      <c r="M286" t="s">
        <v>250</v>
      </c>
      <c r="N286" t="s">
        <v>115</v>
      </c>
      <c r="O286" t="s">
        <v>583</v>
      </c>
      <c r="P286" t="s">
        <v>584</v>
      </c>
      <c r="Q286" t="s">
        <v>42</v>
      </c>
      <c r="R286" t="s">
        <v>43</v>
      </c>
      <c r="S286" t="s">
        <v>44</v>
      </c>
      <c r="T286" t="s">
        <v>481</v>
      </c>
      <c r="U286" t="s">
        <v>200</v>
      </c>
      <c r="V286" t="s">
        <v>934</v>
      </c>
      <c r="W286" t="s">
        <v>48</v>
      </c>
      <c r="X286" t="s">
        <v>49</v>
      </c>
      <c r="Y286" t="s">
        <v>142</v>
      </c>
      <c r="Z286" t="s">
        <v>70</v>
      </c>
      <c r="AA286" t="s">
        <v>128</v>
      </c>
      <c r="AB286" cm="1">
        <f t="array" ref="AB286">IF(OR(COUNTIF(K286, "*FAC.C*")&gt;0, COUNTIF(J286, "*チャージ*")&gt;0, COUNTIF(J286, "*ギフト*")&gt;0), IFERROR(_xlfn.XLOOKUP(B286, $B$1:B285, $AB$1:AB285, 0, 0, -1), 0), IFERROR(ROUND(_xlfn.XLOOKUP(B286, $B$1:B285, $AB$1:AB285, 0, 0, -1) * 0.9 + P286 * 0.1, 0), ""))</f>
        <v>4763</v>
      </c>
      <c r="AC286" t="s">
        <v>85</v>
      </c>
    </row>
    <row r="287" spans="1:29" x14ac:dyDescent="0.2">
      <c r="A287" t="s">
        <v>482</v>
      </c>
      <c r="B287" t="s">
        <v>483</v>
      </c>
      <c r="C287">
        <v>3</v>
      </c>
      <c r="D287" t="s">
        <v>484</v>
      </c>
      <c r="E287">
        <v>75</v>
      </c>
      <c r="F287" t="s">
        <v>173</v>
      </c>
      <c r="G287" t="s">
        <v>485</v>
      </c>
      <c r="H287" t="s">
        <v>34</v>
      </c>
      <c r="I287" s="2">
        <v>46141</v>
      </c>
      <c r="J287" t="s">
        <v>633</v>
      </c>
      <c r="K287" t="s">
        <v>955</v>
      </c>
      <c r="L287" t="s">
        <v>1097</v>
      </c>
      <c r="M287" t="s">
        <v>1159</v>
      </c>
      <c r="N287" t="s">
        <v>1106</v>
      </c>
      <c r="O287" t="s">
        <v>1161</v>
      </c>
      <c r="P287">
        <v>3000</v>
      </c>
      <c r="Q287" t="s">
        <v>42</v>
      </c>
      <c r="R287" t="s">
        <v>43</v>
      </c>
      <c r="S287" t="s">
        <v>44</v>
      </c>
      <c r="T287" t="s">
        <v>489</v>
      </c>
      <c r="U287" t="s">
        <v>200</v>
      </c>
      <c r="V287" t="s">
        <v>405</v>
      </c>
      <c r="W287" t="s">
        <v>48</v>
      </c>
      <c r="X287" t="s">
        <v>49</v>
      </c>
      <c r="Z287" t="s">
        <v>70</v>
      </c>
      <c r="AA287" t="s">
        <v>71</v>
      </c>
      <c r="AB287">
        <v>2333</v>
      </c>
      <c r="AC287" t="s">
        <v>85</v>
      </c>
    </row>
    <row r="288" spans="1:29" x14ac:dyDescent="0.2">
      <c r="A288" t="s">
        <v>490</v>
      </c>
      <c r="B288" t="s">
        <v>491</v>
      </c>
      <c r="C288" t="s">
        <v>145</v>
      </c>
      <c r="D288" t="s">
        <v>131</v>
      </c>
      <c r="E288" t="s">
        <v>492</v>
      </c>
      <c r="F288" t="s">
        <v>145</v>
      </c>
      <c r="G288" t="s">
        <v>493</v>
      </c>
      <c r="H288" t="s">
        <v>34</v>
      </c>
      <c r="I288" s="2">
        <v>46141</v>
      </c>
      <c r="J288" t="s">
        <v>639</v>
      </c>
      <c r="K288" t="s">
        <v>956</v>
      </c>
      <c r="L288" t="s">
        <v>62</v>
      </c>
      <c r="M288" t="s">
        <v>272</v>
      </c>
      <c r="N288" t="s">
        <v>115</v>
      </c>
      <c r="O288" t="s">
        <v>713</v>
      </c>
      <c r="P288" t="s">
        <v>363</v>
      </c>
      <c r="Q288" t="s">
        <v>42</v>
      </c>
      <c r="R288" t="s">
        <v>43</v>
      </c>
      <c r="S288" t="s">
        <v>44</v>
      </c>
      <c r="T288" t="s">
        <v>141</v>
      </c>
      <c r="U288" t="s">
        <v>200</v>
      </c>
      <c r="V288" t="s">
        <v>934</v>
      </c>
      <c r="W288" t="s">
        <v>48</v>
      </c>
      <c r="X288" t="s">
        <v>49</v>
      </c>
      <c r="Y288" t="s">
        <v>69</v>
      </c>
      <c r="Z288" t="s">
        <v>51</v>
      </c>
      <c r="AA288" t="s">
        <v>52</v>
      </c>
      <c r="AB288" cm="1">
        <f t="array" ref="AB288">IF(OR(COUNTIF(K288, "*FAC.C*")&gt;0, COUNTIF(J288, "*チャージ*")&gt;0, COUNTIF(J288, "*ギフト*")&gt;0), IFERROR(_xlfn.XLOOKUP(B288, $B$1:B287, $AB$1:AB287, 0, 0, -1), 0), IFERROR(ROUND(_xlfn.XLOOKUP(B288, $B$1:B287, $AB$1:AB287, 0, 0, -1) * 0.9 + P288 * 0.1, 0), ""))</f>
        <v>7555</v>
      </c>
      <c r="AC288" t="s">
        <v>85</v>
      </c>
    </row>
    <row r="289" spans="1:29" x14ac:dyDescent="0.2">
      <c r="A289" t="s">
        <v>498</v>
      </c>
      <c r="B289" t="s">
        <v>499</v>
      </c>
      <c r="C289" t="s">
        <v>145</v>
      </c>
      <c r="D289" t="s">
        <v>500</v>
      </c>
      <c r="E289" t="s">
        <v>247</v>
      </c>
      <c r="F289" t="s">
        <v>145</v>
      </c>
      <c r="G289" t="s">
        <v>501</v>
      </c>
      <c r="H289" t="s">
        <v>34</v>
      </c>
      <c r="I289" s="2">
        <v>46141</v>
      </c>
      <c r="J289" t="s">
        <v>645</v>
      </c>
      <c r="K289" t="s">
        <v>957</v>
      </c>
      <c r="L289" t="s">
        <v>113</v>
      </c>
      <c r="M289" t="s">
        <v>138</v>
      </c>
      <c r="N289" t="s">
        <v>39</v>
      </c>
      <c r="O289" t="s">
        <v>504</v>
      </c>
      <c r="P289" t="s">
        <v>363</v>
      </c>
      <c r="Q289" t="s">
        <v>42</v>
      </c>
      <c r="R289" t="s">
        <v>43</v>
      </c>
      <c r="S289" t="s">
        <v>44</v>
      </c>
      <c r="T289" t="s">
        <v>505</v>
      </c>
      <c r="U289" t="s">
        <v>46</v>
      </c>
      <c r="V289" t="s">
        <v>405</v>
      </c>
      <c r="W289" t="s">
        <v>48</v>
      </c>
      <c r="X289" t="s">
        <v>49</v>
      </c>
      <c r="Y289" t="s">
        <v>82</v>
      </c>
      <c r="Z289" t="s">
        <v>83</v>
      </c>
      <c r="AA289" t="s">
        <v>84</v>
      </c>
      <c r="AB289" cm="1">
        <f t="array" ref="AB289">IF(OR(COUNTIF(K289, "*FAC.C*")&gt;0, COUNTIF(J289, "*チャージ*")&gt;0, COUNTIF(J289, "*ギフト*")&gt;0), IFERROR(_xlfn.XLOOKUP(B289, $B$1:B288, $AB$1:AB288, 0, 0, -1), 0), IFERROR(ROUND(_xlfn.XLOOKUP(B289, $B$1:B288, $AB$1:AB288, 0, 0, -1) * 0.9 + P289 * 0.1, 0), ""))</f>
        <v>5848</v>
      </c>
      <c r="AC289" t="s">
        <v>85</v>
      </c>
    </row>
    <row r="290" spans="1:29" x14ac:dyDescent="0.2">
      <c r="A290" t="s">
        <v>506</v>
      </c>
      <c r="B290" t="s">
        <v>507</v>
      </c>
      <c r="C290" t="s">
        <v>29</v>
      </c>
      <c r="D290" t="s">
        <v>88</v>
      </c>
      <c r="E290" t="s">
        <v>31</v>
      </c>
      <c r="F290" t="s">
        <v>90</v>
      </c>
      <c r="G290" t="s">
        <v>508</v>
      </c>
      <c r="H290" t="s">
        <v>134</v>
      </c>
      <c r="I290" s="2">
        <v>46141</v>
      </c>
      <c r="J290" t="s">
        <v>651</v>
      </c>
      <c r="K290" t="s">
        <v>958</v>
      </c>
      <c r="L290" t="s">
        <v>62</v>
      </c>
      <c r="M290" t="s">
        <v>93</v>
      </c>
      <c r="N290" t="s">
        <v>39</v>
      </c>
      <c r="O290" t="s">
        <v>178</v>
      </c>
      <c r="P290" t="s">
        <v>179</v>
      </c>
      <c r="Q290" t="s">
        <v>42</v>
      </c>
      <c r="R290" t="s">
        <v>43</v>
      </c>
      <c r="S290" t="s">
        <v>44</v>
      </c>
      <c r="T290" t="s">
        <v>96</v>
      </c>
      <c r="U290" t="s">
        <v>68</v>
      </c>
      <c r="V290" t="s">
        <v>934</v>
      </c>
      <c r="W290" t="s">
        <v>48</v>
      </c>
      <c r="X290" t="s">
        <v>49</v>
      </c>
      <c r="Y290" t="s">
        <v>69</v>
      </c>
      <c r="Z290" t="s">
        <v>83</v>
      </c>
      <c r="AA290" t="s">
        <v>84</v>
      </c>
      <c r="AB290" cm="1">
        <f t="array" ref="AB290">IF(OR(COUNTIF(K290, "*FAC.C*")&gt;0, COUNTIF(J290, "*チャージ*")&gt;0, COUNTIF(J290, "*ギフト*")&gt;0), IFERROR(_xlfn.XLOOKUP(B290, $B$1:B289, $AB$1:AB289, 0, 0, -1), 0), IFERROR(ROUND(_xlfn.XLOOKUP(B290, $B$1:B289, $AB$1:AB289, 0, 0, -1) * 0.9 + P290 * 0.1, 0), ""))</f>
        <v>952</v>
      </c>
      <c r="AC290" t="s">
        <v>53</v>
      </c>
    </row>
    <row r="291" spans="1:29" x14ac:dyDescent="0.2">
      <c r="A291" t="s">
        <v>380</v>
      </c>
      <c r="B291" t="s">
        <v>750</v>
      </c>
      <c r="C291" t="s">
        <v>145</v>
      </c>
      <c r="D291" t="s">
        <v>100</v>
      </c>
      <c r="E291" t="s">
        <v>101</v>
      </c>
      <c r="F291">
        <v>3</v>
      </c>
      <c r="G291" t="s">
        <v>751</v>
      </c>
      <c r="H291" t="s">
        <v>34</v>
      </c>
      <c r="I291" s="2">
        <v>46141</v>
      </c>
      <c r="J291" t="s">
        <v>658</v>
      </c>
      <c r="K291" t="s">
        <v>959</v>
      </c>
      <c r="L291" t="s">
        <v>125</v>
      </c>
      <c r="M291" t="s">
        <v>236</v>
      </c>
      <c r="N291" t="s">
        <v>115</v>
      </c>
      <c r="O291" t="s">
        <v>237</v>
      </c>
      <c r="P291" t="s">
        <v>238</v>
      </c>
      <c r="Q291" t="s">
        <v>42</v>
      </c>
      <c r="R291" t="s">
        <v>43</v>
      </c>
      <c r="S291" t="s">
        <v>44</v>
      </c>
      <c r="T291" t="s">
        <v>106</v>
      </c>
      <c r="U291" t="s">
        <v>97</v>
      </c>
      <c r="V291" s="2">
        <v>44657</v>
      </c>
      <c r="W291" t="s">
        <v>48</v>
      </c>
      <c r="X291" t="s">
        <v>49</v>
      </c>
      <c r="Y291" t="s">
        <v>82</v>
      </c>
      <c r="Z291" t="s">
        <v>70</v>
      </c>
      <c r="AA291" t="s">
        <v>71</v>
      </c>
      <c r="AB291" cm="1">
        <f t="array" ref="AB291">IF(OR(COUNTIF(K291, "*FAC.C*")&gt;0, COUNTIF(J291, "*チャージ*")&gt;0, COUNTIF(J291, "*ギフト*")&gt;0), IFERROR(_xlfn.XLOOKUP(B291, $B$1:B290, $AB$1:AB290, 0, 0, -1), 0), IFERROR(ROUND(_xlfn.XLOOKUP(B291, $B$1:B290, $AB$1:AB290, 0, 0, -1) * 0.9 + P291 * 0.1, 0), ""))</f>
        <v>8085</v>
      </c>
      <c r="AC291" t="s">
        <v>1075</v>
      </c>
    </row>
    <row r="292" spans="1:29" x14ac:dyDescent="0.2">
      <c r="A292" t="s">
        <v>252</v>
      </c>
      <c r="B292" t="s">
        <v>753</v>
      </c>
      <c r="C292" t="s">
        <v>32</v>
      </c>
      <c r="D292" t="s">
        <v>254</v>
      </c>
      <c r="E292" t="s">
        <v>255</v>
      </c>
      <c r="F292" t="s">
        <v>173</v>
      </c>
      <c r="G292" t="s">
        <v>754</v>
      </c>
      <c r="H292" t="s">
        <v>59</v>
      </c>
      <c r="I292" s="2">
        <v>46141</v>
      </c>
      <c r="J292" s="1">
        <v>0.90303240740740742</v>
      </c>
      <c r="K292" t="s">
        <v>960</v>
      </c>
      <c r="L292" t="s">
        <v>1190</v>
      </c>
      <c r="M292" t="s">
        <v>1196</v>
      </c>
      <c r="N292" t="s">
        <v>115</v>
      </c>
      <c r="O292" t="s">
        <v>1197</v>
      </c>
      <c r="P292">
        <v>3200</v>
      </c>
      <c r="Q292" t="s">
        <v>42</v>
      </c>
      <c r="R292" t="s">
        <v>43</v>
      </c>
      <c r="S292" t="s">
        <v>44</v>
      </c>
      <c r="T292" t="s">
        <v>260</v>
      </c>
      <c r="U292" t="s">
        <v>1194</v>
      </c>
      <c r="V292" s="2">
        <v>46063</v>
      </c>
      <c r="W292" t="s">
        <v>48</v>
      </c>
      <c r="X292" t="s">
        <v>49</v>
      </c>
      <c r="Z292">
        <v>16</v>
      </c>
      <c r="AA292" t="s">
        <v>128</v>
      </c>
      <c r="AB292" cm="1">
        <f t="array" ref="AB292">IF(OR(COUNTIF(K292, "*FAC.C*")&gt;0, COUNTIF(J292, "*チャージ*")&gt;0, COUNTIF(J292, "*ギフト*")&gt;0), IFERROR(_xlfn.XLOOKUP(B292, $B$1:B291, $AB$1:AB291, 0, 0, -1), 0), IFERROR(ROUND(_xlfn.XLOOKUP(B292, $B$1:B291, $AB$1:AB291, 0, 0, -1) * 0.9 + P292 * 0.1, 0), ""))</f>
        <v>1710</v>
      </c>
      <c r="AC292" t="s">
        <v>53</v>
      </c>
    </row>
    <row r="293" spans="1:29" x14ac:dyDescent="0.2">
      <c r="A293" t="s">
        <v>230</v>
      </c>
      <c r="B293" t="s">
        <v>231</v>
      </c>
      <c r="C293" t="s">
        <v>173</v>
      </c>
      <c r="D293" t="s">
        <v>232</v>
      </c>
      <c r="E293" t="s">
        <v>233</v>
      </c>
      <c r="F293" t="s">
        <v>90</v>
      </c>
      <c r="G293" t="s">
        <v>961</v>
      </c>
      <c r="H293" t="s">
        <v>962</v>
      </c>
      <c r="I293" s="2">
        <v>46142</v>
      </c>
      <c r="J293" t="s">
        <v>670</v>
      </c>
      <c r="K293" t="s">
        <v>963</v>
      </c>
      <c r="L293" t="s">
        <v>62</v>
      </c>
      <c r="M293" t="s">
        <v>964</v>
      </c>
      <c r="N293" t="s">
        <v>965</v>
      </c>
      <c r="O293" t="s">
        <v>966</v>
      </c>
      <c r="P293" t="s">
        <v>209</v>
      </c>
      <c r="S293" t="s">
        <v>44</v>
      </c>
      <c r="T293" t="s">
        <v>967</v>
      </c>
      <c r="U293" t="s">
        <v>968</v>
      </c>
      <c r="V293" t="s">
        <v>951</v>
      </c>
      <c r="W293" t="s">
        <v>969</v>
      </c>
      <c r="X293" t="s">
        <v>49</v>
      </c>
      <c r="Y293" t="s">
        <v>50</v>
      </c>
      <c r="Z293" t="s">
        <v>70</v>
      </c>
      <c r="AA293" t="s">
        <v>970</v>
      </c>
      <c r="AB293" cm="1">
        <f t="array" ref="AB293">IF(OR(COUNTIF(K293, "*FAC.C*")&gt;0, COUNTIF(J293, "*チャージ*")&gt;0, COUNTIF(J293, "*ギフト*")&gt;0), IFERROR(_xlfn.XLOOKUP(B293, $B$1:B292, $AB$1:AB292, 0, 0, -1), 0), IFERROR(ROUND(_xlfn.XLOOKUP(B293, $B$1:B292, $AB$1:AB292, 0, 0, -1) * 0.9 + P293 * 0.1, 0), ""))</f>
        <v>481</v>
      </c>
      <c r="AC293" t="s">
        <v>971</v>
      </c>
    </row>
    <row r="294" spans="1:29" x14ac:dyDescent="0.2">
      <c r="A294" t="s">
        <v>281</v>
      </c>
      <c r="B294" t="s">
        <v>282</v>
      </c>
      <c r="C294" t="s">
        <v>173</v>
      </c>
      <c r="D294" t="s">
        <v>283</v>
      </c>
      <c r="E294" t="s">
        <v>284</v>
      </c>
      <c r="F294" t="s">
        <v>145</v>
      </c>
      <c r="G294" s="3">
        <v>359150071234560</v>
      </c>
      <c r="H294" t="s">
        <v>59</v>
      </c>
      <c r="I294" s="2">
        <v>46142</v>
      </c>
      <c r="J294" t="s">
        <v>687</v>
      </c>
      <c r="K294" t="s">
        <v>972</v>
      </c>
      <c r="L294" t="s">
        <v>113</v>
      </c>
      <c r="M294" t="s">
        <v>1030</v>
      </c>
      <c r="N294" t="s">
        <v>1025</v>
      </c>
      <c r="O294" t="s">
        <v>105</v>
      </c>
      <c r="P294" t="s">
        <v>95</v>
      </c>
      <c r="Q294" t="s">
        <v>42</v>
      </c>
      <c r="R294" t="s">
        <v>43</v>
      </c>
      <c r="S294" t="s">
        <v>44</v>
      </c>
      <c r="T294" t="s">
        <v>288</v>
      </c>
      <c r="U294" t="s">
        <v>68</v>
      </c>
      <c r="V294" s="2">
        <v>41230</v>
      </c>
      <c r="W294" t="s">
        <v>48</v>
      </c>
      <c r="X294" t="s">
        <v>49</v>
      </c>
      <c r="Z294" t="s">
        <v>70</v>
      </c>
      <c r="AA294" t="s">
        <v>1026</v>
      </c>
      <c r="AB294" cm="1">
        <f t="array" ref="AB294">IF(OR(COUNTIF(K294, "*FAC.C*")&gt;0, COUNTIF(J294, "*チャージ*")&gt;0, COUNTIF(J294, "*ギフト*")&gt;0), IFERROR(_xlfn.XLOOKUP(B294, $B$1:B293, $AB$1:AB293, 0, 0, -1), 0), IFERROR(ROUND(_xlfn.XLOOKUP(B294, $B$1:B293, $AB$1:AB293, 0, 0, -1) * 0.9 + P294 * 0.1, 0), ""))</f>
        <v>19661</v>
      </c>
      <c r="AC294" t="s">
        <v>53</v>
      </c>
    </row>
    <row r="295" spans="1:29" x14ac:dyDescent="0.2">
      <c r="A295" t="s">
        <v>230</v>
      </c>
      <c r="B295" t="s">
        <v>231</v>
      </c>
      <c r="C295" t="s">
        <v>173</v>
      </c>
      <c r="D295" t="s">
        <v>232</v>
      </c>
      <c r="E295" t="s">
        <v>233</v>
      </c>
      <c r="F295" t="s">
        <v>90</v>
      </c>
      <c r="G295" t="s">
        <v>961</v>
      </c>
      <c r="H295" t="s">
        <v>962</v>
      </c>
      <c r="I295" s="2">
        <v>46142</v>
      </c>
      <c r="J295" t="s">
        <v>973</v>
      </c>
      <c r="K295" t="s">
        <v>974</v>
      </c>
      <c r="L295" t="s">
        <v>62</v>
      </c>
      <c r="M295" t="s">
        <v>964</v>
      </c>
      <c r="N295" t="s">
        <v>965</v>
      </c>
      <c r="O295" t="s">
        <v>975</v>
      </c>
      <c r="P295" t="s">
        <v>976</v>
      </c>
      <c r="S295" t="s">
        <v>44</v>
      </c>
      <c r="T295" t="s">
        <v>967</v>
      </c>
      <c r="U295" t="s">
        <v>977</v>
      </c>
      <c r="V295" t="s">
        <v>951</v>
      </c>
      <c r="W295" t="s">
        <v>969</v>
      </c>
      <c r="X295" t="s">
        <v>49</v>
      </c>
      <c r="Y295" t="s">
        <v>50</v>
      </c>
      <c r="Z295" t="s">
        <v>70</v>
      </c>
      <c r="AA295" t="s">
        <v>978</v>
      </c>
      <c r="AB295" cm="1">
        <f t="array" ref="AB295">IF(OR(COUNTIF(K295, "*FAC.C*")&gt;0, COUNTIF(J295, "*チャージ*")&gt;0, COUNTIF(J295, "*ギフト*")&gt;0), IFERROR(_xlfn.XLOOKUP(B295, $B$1:B294, $AB$1:AB294, 0, 0, -1), 0), IFERROR(ROUND(_xlfn.XLOOKUP(B295, $B$1:B294, $AB$1:AB294, 0, 0, -1) * 0.9 + P295 * 0.1, 0), ""))</f>
        <v>3263</v>
      </c>
      <c r="AC295" t="s">
        <v>971</v>
      </c>
    </row>
    <row r="296" spans="1:29" x14ac:dyDescent="0.2">
      <c r="A296" t="s">
        <v>230</v>
      </c>
      <c r="B296" t="s">
        <v>231</v>
      </c>
      <c r="C296" t="s">
        <v>173</v>
      </c>
      <c r="D296" t="s">
        <v>232</v>
      </c>
      <c r="E296" t="s">
        <v>233</v>
      </c>
      <c r="F296" t="s">
        <v>90</v>
      </c>
      <c r="G296" t="s">
        <v>961</v>
      </c>
      <c r="H296" t="s">
        <v>962</v>
      </c>
      <c r="I296" s="2">
        <v>46142</v>
      </c>
      <c r="J296" t="s">
        <v>979</v>
      </c>
      <c r="K296" t="s">
        <v>980</v>
      </c>
      <c r="L296" t="s">
        <v>62</v>
      </c>
      <c r="M296" t="s">
        <v>964</v>
      </c>
      <c r="N296" t="s">
        <v>965</v>
      </c>
      <c r="O296" t="s">
        <v>975</v>
      </c>
      <c r="P296" t="s">
        <v>976</v>
      </c>
      <c r="S296" t="s">
        <v>44</v>
      </c>
      <c r="T296" t="s">
        <v>967</v>
      </c>
      <c r="U296" t="s">
        <v>977</v>
      </c>
      <c r="V296" t="s">
        <v>951</v>
      </c>
      <c r="W296" t="s">
        <v>969</v>
      </c>
      <c r="X296" t="s">
        <v>49</v>
      </c>
      <c r="Y296" t="s">
        <v>50</v>
      </c>
      <c r="Z296" t="s">
        <v>70</v>
      </c>
      <c r="AA296" t="s">
        <v>970</v>
      </c>
      <c r="AB296" cm="1">
        <f t="array" ref="AB296">IF(OR(COUNTIF(K296, "*FAC.C*")&gt;0, COUNTIF(J296, "*チャージ*")&gt;0, COUNTIF(J296, "*ギフト*")&gt;0), IFERROR(_xlfn.XLOOKUP(B296, $B$1:B295, $AB$1:AB295, 0, 0, -1), 0), IFERROR(ROUND(_xlfn.XLOOKUP(B296, $B$1:B295, $AB$1:AB295, 0, 0, -1) * 0.9 + P296 * 0.1, 0), ""))</f>
        <v>5767</v>
      </c>
      <c r="AC296" t="s">
        <v>971</v>
      </c>
    </row>
    <row r="297" spans="1:29" x14ac:dyDescent="0.2">
      <c r="A297" t="s">
        <v>230</v>
      </c>
      <c r="B297" t="s">
        <v>231</v>
      </c>
      <c r="C297" t="s">
        <v>173</v>
      </c>
      <c r="D297" t="s">
        <v>232</v>
      </c>
      <c r="E297" t="s">
        <v>233</v>
      </c>
      <c r="F297" t="s">
        <v>90</v>
      </c>
      <c r="G297" t="s">
        <v>961</v>
      </c>
      <c r="H297" t="s">
        <v>962</v>
      </c>
      <c r="I297" s="2">
        <v>46142</v>
      </c>
      <c r="J297" t="s">
        <v>981</v>
      </c>
      <c r="K297" t="s">
        <v>982</v>
      </c>
      <c r="L297" t="s">
        <v>62</v>
      </c>
      <c r="M297" t="s">
        <v>964</v>
      </c>
      <c r="N297" t="s">
        <v>965</v>
      </c>
      <c r="O297" t="s">
        <v>975</v>
      </c>
      <c r="P297" t="s">
        <v>976</v>
      </c>
      <c r="S297" t="s">
        <v>44</v>
      </c>
      <c r="T297" t="s">
        <v>967</v>
      </c>
      <c r="U297" t="s">
        <v>977</v>
      </c>
      <c r="V297" t="s">
        <v>951</v>
      </c>
      <c r="W297" t="s">
        <v>969</v>
      </c>
      <c r="X297" t="s">
        <v>49</v>
      </c>
      <c r="Y297" t="s">
        <v>50</v>
      </c>
      <c r="Z297" t="s">
        <v>70</v>
      </c>
      <c r="AA297" t="s">
        <v>983</v>
      </c>
      <c r="AB297" cm="1">
        <f t="array" ref="AB297">IF(OR(COUNTIF(K297, "*FAC.C*")&gt;0, COUNTIF(J297, "*チャージ*")&gt;0, COUNTIF(J297, "*ギフト*")&gt;0), IFERROR(_xlfn.XLOOKUP(B297, $B$1:B296, $AB$1:AB296, 0, 0, -1), 0), IFERROR(ROUND(_xlfn.XLOOKUP(B297, $B$1:B296, $AB$1:AB296, 0, 0, -1) * 0.9 + P297 * 0.1, 0), ""))</f>
        <v>8020</v>
      </c>
      <c r="AC297" t="s">
        <v>971</v>
      </c>
    </row>
    <row r="298" spans="1:29" x14ac:dyDescent="0.2">
      <c r="A298" t="s">
        <v>230</v>
      </c>
      <c r="B298" t="s">
        <v>231</v>
      </c>
      <c r="C298" t="s">
        <v>173</v>
      </c>
      <c r="D298" t="s">
        <v>232</v>
      </c>
      <c r="E298" t="s">
        <v>233</v>
      </c>
      <c r="F298" t="s">
        <v>90</v>
      </c>
      <c r="G298" t="s">
        <v>961</v>
      </c>
      <c r="H298" t="s">
        <v>962</v>
      </c>
      <c r="I298" s="2">
        <v>46142</v>
      </c>
      <c r="J298" t="s">
        <v>984</v>
      </c>
      <c r="K298" t="s">
        <v>985</v>
      </c>
      <c r="L298" t="s">
        <v>62</v>
      </c>
      <c r="M298" t="s">
        <v>964</v>
      </c>
      <c r="N298" t="s">
        <v>965</v>
      </c>
      <c r="O298" t="s">
        <v>975</v>
      </c>
      <c r="P298" t="s">
        <v>976</v>
      </c>
      <c r="S298" t="s">
        <v>44</v>
      </c>
      <c r="T298" t="s">
        <v>967</v>
      </c>
      <c r="U298" t="s">
        <v>977</v>
      </c>
      <c r="V298" t="s">
        <v>951</v>
      </c>
      <c r="W298" t="s">
        <v>969</v>
      </c>
      <c r="X298" t="s">
        <v>49</v>
      </c>
      <c r="Y298" t="s">
        <v>50</v>
      </c>
      <c r="Z298" t="s">
        <v>70</v>
      </c>
      <c r="AA298" t="s">
        <v>978</v>
      </c>
      <c r="AB298" cm="1">
        <f t="array" ref="AB298">IF(OR(COUNTIF(K298, "*FAC.C*")&gt;0, COUNTIF(J298, "*チャージ*")&gt;0, COUNTIF(J298, "*ギフト*")&gt;0), IFERROR(_xlfn.XLOOKUP(B298, $B$1:B297, $AB$1:AB297, 0, 0, -1), 0), IFERROR(ROUND(_xlfn.XLOOKUP(B298, $B$1:B297, $AB$1:AB297, 0, 0, -1) * 0.9 + P298 * 0.1, 0), ""))</f>
        <v>10048</v>
      </c>
      <c r="AC298" t="s">
        <v>971</v>
      </c>
    </row>
    <row r="299" spans="1:29" x14ac:dyDescent="0.2">
      <c r="A299" t="s">
        <v>230</v>
      </c>
      <c r="B299" t="s">
        <v>231</v>
      </c>
      <c r="C299" t="s">
        <v>173</v>
      </c>
      <c r="D299" t="s">
        <v>232</v>
      </c>
      <c r="E299" t="s">
        <v>233</v>
      </c>
      <c r="F299" t="s">
        <v>90</v>
      </c>
      <c r="G299" t="s">
        <v>961</v>
      </c>
      <c r="H299" t="s">
        <v>962</v>
      </c>
      <c r="I299" s="2">
        <v>46142</v>
      </c>
      <c r="J299" t="s">
        <v>986</v>
      </c>
      <c r="K299" t="s">
        <v>987</v>
      </c>
      <c r="L299" t="s">
        <v>62</v>
      </c>
      <c r="M299" t="s">
        <v>988</v>
      </c>
      <c r="N299" t="s">
        <v>965</v>
      </c>
      <c r="O299" t="s">
        <v>989</v>
      </c>
      <c r="P299" t="s">
        <v>990</v>
      </c>
      <c r="S299" t="s">
        <v>44</v>
      </c>
      <c r="T299" t="s">
        <v>967</v>
      </c>
      <c r="U299" t="s">
        <v>977</v>
      </c>
      <c r="V299" t="s">
        <v>951</v>
      </c>
      <c r="W299" t="s">
        <v>969</v>
      </c>
      <c r="X299" t="s">
        <v>49</v>
      </c>
      <c r="Y299" t="s">
        <v>50</v>
      </c>
      <c r="Z299" t="s">
        <v>70</v>
      </c>
      <c r="AA299" t="s">
        <v>991</v>
      </c>
      <c r="AB299" cm="1">
        <f t="array" ref="AB299">IF(OR(COUNTIF(K299, "*FAC.C*")&gt;0, COUNTIF(J299, "*チャージ*")&gt;0, COUNTIF(J299, "*ギフト*")&gt;0), IFERROR(_xlfn.XLOOKUP(B299, $B$1:B298, $AB$1:AB298, 0, 0, -1), 0), IFERROR(ROUND(_xlfn.XLOOKUP(B299, $B$1:B298, $AB$1:AB298, 0, 0, -1) * 0.9 + P299 * 0.1, 0), ""))</f>
        <v>35743</v>
      </c>
      <c r="AC299" t="s">
        <v>971</v>
      </c>
    </row>
    <row r="300" spans="1:29" x14ac:dyDescent="0.2">
      <c r="A300" t="s">
        <v>230</v>
      </c>
      <c r="B300" t="s">
        <v>231</v>
      </c>
      <c r="C300" t="s">
        <v>173</v>
      </c>
      <c r="D300" t="s">
        <v>232</v>
      </c>
      <c r="E300" t="s">
        <v>233</v>
      </c>
      <c r="F300" t="s">
        <v>90</v>
      </c>
      <c r="G300" t="s">
        <v>961</v>
      </c>
      <c r="H300" t="s">
        <v>962</v>
      </c>
      <c r="I300" s="2">
        <v>46142</v>
      </c>
      <c r="J300" t="s">
        <v>992</v>
      </c>
      <c r="K300" t="s">
        <v>993</v>
      </c>
      <c r="L300" t="s">
        <v>62</v>
      </c>
      <c r="M300" t="s">
        <v>964</v>
      </c>
      <c r="N300" t="s">
        <v>965</v>
      </c>
      <c r="O300" t="s">
        <v>975</v>
      </c>
      <c r="P300" t="s">
        <v>976</v>
      </c>
      <c r="S300" t="s">
        <v>44</v>
      </c>
      <c r="T300" t="s">
        <v>967</v>
      </c>
      <c r="U300" t="s">
        <v>977</v>
      </c>
      <c r="V300" t="s">
        <v>951</v>
      </c>
      <c r="W300" t="s">
        <v>969</v>
      </c>
      <c r="X300" t="s">
        <v>49</v>
      </c>
      <c r="Y300" t="s">
        <v>50</v>
      </c>
      <c r="Z300" t="s">
        <v>70</v>
      </c>
      <c r="AA300" t="s">
        <v>983</v>
      </c>
      <c r="AB300" cm="1">
        <f t="array" ref="AB300">IF(OR(COUNTIF(K300, "*FAC.C*")&gt;0, COUNTIF(J300, "*チャージ*")&gt;0, COUNTIF(J300, "*ギフト*")&gt;0), IFERROR(_xlfn.XLOOKUP(B300, $B$1:B299, $AB$1:AB299, 0, 0, -1), 0), IFERROR(ROUND(_xlfn.XLOOKUP(B300, $B$1:B299, $AB$1:AB299, 0, 0, -1) * 0.9 + P300 * 0.1, 0), ""))</f>
        <v>34999</v>
      </c>
      <c r="AC300" t="s">
        <v>971</v>
      </c>
    </row>
    <row r="301" spans="1:29" x14ac:dyDescent="0.2">
      <c r="A301" t="s">
        <v>274</v>
      </c>
      <c r="B301" t="s">
        <v>275</v>
      </c>
      <c r="C301" t="s">
        <v>173</v>
      </c>
      <c r="D301" t="s">
        <v>276</v>
      </c>
      <c r="E301" t="s">
        <v>89</v>
      </c>
      <c r="F301" t="s">
        <v>173</v>
      </c>
      <c r="G301" t="s">
        <v>277</v>
      </c>
      <c r="H301" t="s">
        <v>134</v>
      </c>
      <c r="I301" s="2">
        <v>46142</v>
      </c>
      <c r="J301" t="s">
        <v>994</v>
      </c>
      <c r="K301" t="s">
        <v>995</v>
      </c>
      <c r="L301" t="s">
        <v>125</v>
      </c>
      <c r="M301" t="s">
        <v>946</v>
      </c>
      <c r="N301" t="s">
        <v>947</v>
      </c>
      <c r="O301" t="s">
        <v>996</v>
      </c>
      <c r="P301" t="s">
        <v>41</v>
      </c>
      <c r="Q301" t="s">
        <v>279</v>
      </c>
      <c r="R301" t="s">
        <v>43</v>
      </c>
      <c r="S301" t="s">
        <v>44</v>
      </c>
      <c r="T301" t="s">
        <v>280</v>
      </c>
      <c r="U301" t="s">
        <v>221</v>
      </c>
      <c r="V301" t="s">
        <v>924</v>
      </c>
      <c r="W301" t="s">
        <v>48</v>
      </c>
      <c r="X301">
        <v>1</v>
      </c>
      <c r="Y301" t="s">
        <v>82</v>
      </c>
      <c r="Z301">
        <v>16</v>
      </c>
      <c r="AA301" t="s">
        <v>128</v>
      </c>
      <c r="AB301" cm="1">
        <f t="array" ref="AB301">IF(OR(COUNTIF(K301, "*FAC.C*")&gt;0, COUNTIF(J301, "*チャージ*")&gt;0, COUNTIF(J301, "*ギフト*")&gt;0), IFERROR(_xlfn.XLOOKUP(B301, $B$1:B300, $AB$1:AB300, 0, 0, -1), 0), IFERROR(ROUND(_xlfn.XLOOKUP(B301, $B$1:B300, $AB$1:AB300, 0, 0, -1) * 0.9 + P301 * 0.1, 0), ""))</f>
        <v>3916</v>
      </c>
      <c r="AC301" t="s">
        <v>53</v>
      </c>
    </row>
    <row r="302" spans="1:29" x14ac:dyDescent="0.2">
      <c r="A302" t="s">
        <v>274</v>
      </c>
      <c r="B302" t="s">
        <v>275</v>
      </c>
      <c r="C302" t="s">
        <v>173</v>
      </c>
      <c r="D302" t="s">
        <v>276</v>
      </c>
      <c r="E302" t="s">
        <v>89</v>
      </c>
      <c r="F302" t="s">
        <v>173</v>
      </c>
      <c r="G302" t="s">
        <v>277</v>
      </c>
      <c r="H302" t="s">
        <v>134</v>
      </c>
      <c r="I302" s="2">
        <v>46142</v>
      </c>
      <c r="J302" t="s">
        <v>997</v>
      </c>
      <c r="K302" t="s">
        <v>998</v>
      </c>
      <c r="L302" t="s">
        <v>125</v>
      </c>
      <c r="M302" t="s">
        <v>946</v>
      </c>
      <c r="N302" t="s">
        <v>947</v>
      </c>
      <c r="O302" t="s">
        <v>999</v>
      </c>
      <c r="P302" t="s">
        <v>41</v>
      </c>
      <c r="Q302" t="s">
        <v>279</v>
      </c>
      <c r="R302" t="s">
        <v>43</v>
      </c>
      <c r="S302" t="s">
        <v>44</v>
      </c>
      <c r="T302" t="s">
        <v>280</v>
      </c>
      <c r="U302" t="s">
        <v>221</v>
      </c>
      <c r="V302" t="s">
        <v>924</v>
      </c>
      <c r="W302" t="s">
        <v>48</v>
      </c>
      <c r="X302">
        <v>1</v>
      </c>
      <c r="Y302" t="s">
        <v>82</v>
      </c>
      <c r="Z302">
        <v>16</v>
      </c>
      <c r="AA302" t="s">
        <v>128</v>
      </c>
      <c r="AB302" cm="1">
        <f t="array" ref="AB302">IF(OR(COUNTIF(K302, "*FAC.C*")&gt;0, COUNTIF(J302, "*チャージ*")&gt;0, COUNTIF(J302, "*ギフト*")&gt;0), IFERROR(_xlfn.XLOOKUP(B302, $B$1:B301, $AB$1:AB301, 0, 0, -1), 0), IFERROR(ROUND(_xlfn.XLOOKUP(B302, $B$1:B301, $AB$1:AB301, 0, 0, -1) * 0.9 + P302 * 0.1, 0), ""))</f>
        <v>4524</v>
      </c>
      <c r="AC302" t="s">
        <v>53</v>
      </c>
    </row>
    <row r="303" spans="1:29" x14ac:dyDescent="0.2">
      <c r="A303" t="s">
        <v>274</v>
      </c>
      <c r="B303" t="s">
        <v>275</v>
      </c>
      <c r="C303" t="s">
        <v>173</v>
      </c>
      <c r="D303" t="s">
        <v>276</v>
      </c>
      <c r="E303" t="s">
        <v>89</v>
      </c>
      <c r="F303" t="s">
        <v>173</v>
      </c>
      <c r="G303" t="s">
        <v>277</v>
      </c>
      <c r="H303" t="s">
        <v>134</v>
      </c>
      <c r="I303" s="2">
        <v>46142</v>
      </c>
      <c r="J303" t="s">
        <v>1000</v>
      </c>
      <c r="K303" t="s">
        <v>1001</v>
      </c>
      <c r="L303" t="s">
        <v>125</v>
      </c>
      <c r="M303" t="s">
        <v>946</v>
      </c>
      <c r="N303" t="s">
        <v>947</v>
      </c>
      <c r="O303" t="s">
        <v>1002</v>
      </c>
      <c r="P303" t="s">
        <v>41</v>
      </c>
      <c r="Q303" t="s">
        <v>279</v>
      </c>
      <c r="R303" t="s">
        <v>43</v>
      </c>
      <c r="S303" t="s">
        <v>44</v>
      </c>
      <c r="T303" t="s">
        <v>280</v>
      </c>
      <c r="U303" t="s">
        <v>221</v>
      </c>
      <c r="V303" t="s">
        <v>924</v>
      </c>
      <c r="W303" t="s">
        <v>48</v>
      </c>
      <c r="X303">
        <v>1</v>
      </c>
      <c r="Y303" t="s">
        <v>82</v>
      </c>
      <c r="Z303">
        <v>16</v>
      </c>
      <c r="AA303" t="s">
        <v>128</v>
      </c>
      <c r="AB303" cm="1">
        <f t="array" ref="AB303">IF(OR(COUNTIF(K303, "*FAC.C*")&gt;0, COUNTIF(J303, "*チャージ*")&gt;0, COUNTIF(J303, "*ギフト*")&gt;0), IFERROR(_xlfn.XLOOKUP(B303, $B$1:B302, $AB$1:AB302, 0, 0, -1), 0), IFERROR(ROUND(_xlfn.XLOOKUP(B303, $B$1:B302, $AB$1:AB302, 0, 0, -1) * 0.9 + P303 * 0.1, 0), ""))</f>
        <v>5072</v>
      </c>
      <c r="AC303" t="s">
        <v>53</v>
      </c>
    </row>
    <row r="304" spans="1:29" x14ac:dyDescent="0.2">
      <c r="A304" t="s">
        <v>274</v>
      </c>
      <c r="B304" t="s">
        <v>275</v>
      </c>
      <c r="C304" t="s">
        <v>173</v>
      </c>
      <c r="D304" t="s">
        <v>276</v>
      </c>
      <c r="E304" t="s">
        <v>89</v>
      </c>
      <c r="F304" t="s">
        <v>173</v>
      </c>
      <c r="G304" t="s">
        <v>277</v>
      </c>
      <c r="H304" t="s">
        <v>134</v>
      </c>
      <c r="I304" s="2">
        <v>46142</v>
      </c>
      <c r="J304" t="s">
        <v>1003</v>
      </c>
      <c r="K304" t="s">
        <v>731</v>
      </c>
      <c r="L304" t="s">
        <v>125</v>
      </c>
      <c r="M304" t="s">
        <v>946</v>
      </c>
      <c r="N304" t="s">
        <v>947</v>
      </c>
      <c r="O304" t="s">
        <v>1004</v>
      </c>
      <c r="P304" t="s">
        <v>41</v>
      </c>
      <c r="Q304" t="s">
        <v>279</v>
      </c>
      <c r="R304" t="s">
        <v>43</v>
      </c>
      <c r="S304" t="s">
        <v>44</v>
      </c>
      <c r="T304" t="s">
        <v>280</v>
      </c>
      <c r="U304" t="s">
        <v>221</v>
      </c>
      <c r="V304" t="s">
        <v>924</v>
      </c>
      <c r="W304" t="s">
        <v>48</v>
      </c>
      <c r="X304">
        <v>1</v>
      </c>
      <c r="Y304" t="s">
        <v>82</v>
      </c>
      <c r="Z304">
        <v>16</v>
      </c>
      <c r="AA304" t="s">
        <v>128</v>
      </c>
      <c r="AB304" cm="1">
        <f t="array" ref="AB304">IF(OR(COUNTIF(K304, "*FAC.C*")&gt;0, COUNTIF(J304, "*チャージ*")&gt;0, COUNTIF(J304, "*ギフト*")&gt;0), IFERROR(_xlfn.XLOOKUP(B304, $B$1:B303, $AB$1:AB303, 0, 0, -1), 0), IFERROR(ROUND(_xlfn.XLOOKUP(B304, $B$1:B303, $AB$1:AB303, 0, 0, -1) * 0.9 + P304 * 0.1, 0), ""))</f>
        <v>5565</v>
      </c>
      <c r="AC304" t="s">
        <v>53</v>
      </c>
    </row>
    <row r="305" spans="1:29" x14ac:dyDescent="0.2">
      <c r="A305" t="s">
        <v>321</v>
      </c>
      <c r="B305" t="s">
        <v>322</v>
      </c>
      <c r="C305" t="s">
        <v>32</v>
      </c>
      <c r="D305" t="s">
        <v>323</v>
      </c>
      <c r="E305" t="s">
        <v>324</v>
      </c>
      <c r="F305" t="s">
        <v>90</v>
      </c>
      <c r="G305" t="s">
        <v>325</v>
      </c>
      <c r="H305" t="s">
        <v>59</v>
      </c>
      <c r="I305" s="2">
        <v>46142</v>
      </c>
      <c r="J305" t="s">
        <v>701</v>
      </c>
      <c r="K305" t="s">
        <v>734</v>
      </c>
      <c r="L305" t="s">
        <v>526</v>
      </c>
      <c r="M305" t="s">
        <v>104</v>
      </c>
      <c r="N305" t="s">
        <v>39</v>
      </c>
      <c r="O305" t="s">
        <v>496</v>
      </c>
      <c r="P305" t="s">
        <v>497</v>
      </c>
      <c r="Q305" t="s">
        <v>42</v>
      </c>
      <c r="R305" t="s">
        <v>43</v>
      </c>
      <c r="S305" t="s">
        <v>1005</v>
      </c>
      <c r="T305" t="s">
        <v>329</v>
      </c>
      <c r="U305" t="s">
        <v>97</v>
      </c>
      <c r="V305" t="s">
        <v>951</v>
      </c>
      <c r="W305" t="s">
        <v>48</v>
      </c>
      <c r="X305" t="s">
        <v>49</v>
      </c>
      <c r="Y305" t="s">
        <v>50</v>
      </c>
      <c r="Z305" t="s">
        <v>70</v>
      </c>
      <c r="AA305" t="s">
        <v>128</v>
      </c>
      <c r="AB305" cm="1">
        <f t="array" ref="AB305">IF(OR(COUNTIF(K305, "*FAC.C*")&gt;0, COUNTIF(J305, "*チャージ*")&gt;0, COUNTIF(J305, "*ギフト*")&gt;0), IFERROR(_xlfn.XLOOKUP(B305, $B$1:B304, $AB$1:AB304, 0, 0, -1), 0), IFERROR(ROUND(_xlfn.XLOOKUP(B305, $B$1:B304, $AB$1:AB304, 0, 0, -1) * 0.9 + P305 * 0.1, 0), ""))</f>
        <v>6972</v>
      </c>
      <c r="AC305" t="s">
        <v>53</v>
      </c>
    </row>
    <row r="306" spans="1:29" x14ac:dyDescent="0.2">
      <c r="A306" t="s">
        <v>321</v>
      </c>
      <c r="B306" t="s">
        <v>322</v>
      </c>
      <c r="C306" t="s">
        <v>32</v>
      </c>
      <c r="D306" t="s">
        <v>323</v>
      </c>
      <c r="E306" t="s">
        <v>324</v>
      </c>
      <c r="F306" t="s">
        <v>90</v>
      </c>
      <c r="G306" t="s">
        <v>325</v>
      </c>
      <c r="H306" t="s">
        <v>59</v>
      </c>
      <c r="I306" s="2">
        <v>46142</v>
      </c>
      <c r="J306" t="s">
        <v>465</v>
      </c>
      <c r="K306" t="s">
        <v>1006</v>
      </c>
      <c r="L306" t="s">
        <v>526</v>
      </c>
      <c r="M306" t="s">
        <v>63</v>
      </c>
      <c r="N306" t="s">
        <v>64</v>
      </c>
      <c r="O306" t="s">
        <v>197</v>
      </c>
      <c r="P306" t="s">
        <v>198</v>
      </c>
      <c r="Q306" t="s">
        <v>42</v>
      </c>
      <c r="R306" t="s">
        <v>43</v>
      </c>
      <c r="S306" t="s">
        <v>1005</v>
      </c>
      <c r="T306" t="s">
        <v>329</v>
      </c>
      <c r="U306" t="s">
        <v>68</v>
      </c>
      <c r="V306" t="s">
        <v>167</v>
      </c>
      <c r="W306" t="s">
        <v>48</v>
      </c>
      <c r="X306" t="s">
        <v>49</v>
      </c>
      <c r="Y306" t="s">
        <v>50</v>
      </c>
      <c r="Z306" t="s">
        <v>70</v>
      </c>
      <c r="AA306" t="s">
        <v>128</v>
      </c>
      <c r="AB306" cm="1">
        <f t="array" ref="AB306">IF(OR(COUNTIF(K306, "*FAC.C*")&gt;0, COUNTIF(J306, "*チャージ*")&gt;0, COUNTIF(J306, "*ギフト*")&gt;0), IFERROR(_xlfn.XLOOKUP(B306, $B$1:B305, $AB$1:AB305, 0, 0, -1), 0), IFERROR(ROUND(_xlfn.XLOOKUP(B306, $B$1:B305, $AB$1:AB305, 0, 0, -1) * 0.9 + P306 * 0.1, 0), ""))</f>
        <v>6336</v>
      </c>
      <c r="AC306" t="s">
        <v>53</v>
      </c>
    </row>
    <row r="307" spans="1:29" x14ac:dyDescent="0.2">
      <c r="G307"/>
    </row>
    <row r="308" spans="1:29" x14ac:dyDescent="0.2">
      <c r="G308"/>
    </row>
    <row r="309" spans="1:29" x14ac:dyDescent="0.2">
      <c r="G309"/>
    </row>
    <row r="310" spans="1:29" x14ac:dyDescent="0.2">
      <c r="G310"/>
    </row>
    <row r="311" spans="1:29" x14ac:dyDescent="0.2">
      <c r="G311"/>
    </row>
    <row r="312" spans="1:29" x14ac:dyDescent="0.2">
      <c r="G312"/>
    </row>
    <row r="313" spans="1:29" x14ac:dyDescent="0.2">
      <c r="G313"/>
    </row>
  </sheetData>
  <autoFilter ref="A1:A313" xr:uid="{00000000-0001-0000-0000-000000000000}"/>
  <phoneticPr fontId="1"/>
  <pageMargins left="0.75" right="0.75" top="1" bottom="1" header="0.5" footer="0.5"/>
  <pageSetup paperSize="9" orientation="portrait" r:id="rId1"/>
  <ignoredErrors>
    <ignoredError sqref="P279:P284 G26:G42 G163:G164 G166:G180 G219:G230 G252:G253 G255:G280 G282:G283 G232:G234 G118 G188:G189 G207 G191:G192 G214:G217 G285:G286 P286 G92 G108:G109 G147:G161 G236:G250 G125:G145 G183:G185 G102 G122 G88:G90 G194:G198 G288:G293 P288:P291 G44:G86 G111:G115 G200:G204 G94:G100 P293:P30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frontier-Python</cp:lastModifiedBy>
  <dcterms:created xsi:type="dcterms:W3CDTF">2026-06-11T02:26:42Z</dcterms:created>
  <dcterms:modified xsi:type="dcterms:W3CDTF">2026-06-16T00:28:57Z</dcterms:modified>
</cp:coreProperties>
</file>